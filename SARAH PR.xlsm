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eq6qc\Desktop\"/>
    </mc:Choice>
  </mc:AlternateContent>
  <xr:revisionPtr revIDLastSave="0" documentId="13_ncr:1_{175847D4-7993-41F4-BB4D-C5CD070692CC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PR" sheetId="6" r:id="rId1"/>
    <sheet name="REQUESTORS" sheetId="2" r:id="rId2"/>
    <sheet name="BUYER" sheetId="5" r:id="rId3"/>
    <sheet name="SUPPLIERS" sheetId="4" r:id="rId4"/>
    <sheet name="24PRLIST" sheetId="1" r:id="rId5"/>
    <sheet name="suppliers_s" sheetId="7" state="hidden" r:id="rId6"/>
    <sheet name="23PRLIST" sheetId="3" state="hidden" r:id="rId7"/>
  </sheets>
  <functionGroups builtInGroupCount="19"/>
  <definedNames>
    <definedName name="_xlnm._FilterDatabase" localSheetId="4" hidden="1">'24PRLIST'!$A$1:$N$51</definedName>
    <definedName name="_xlnm._FilterDatabase" localSheetId="0" hidden="1">PR!$A$1:$N$1</definedName>
    <definedName name="A">PR!$A:$A</definedName>
    <definedName name="pr_list">PR!$A:$A</definedName>
    <definedName name="pr_qnty">PR!$P$1</definedName>
    <definedName name="prlist">PR!$A:$A</definedName>
    <definedName name="prQnty">PR!$R$5</definedName>
    <definedName name="req">PR!$E:$E</definedName>
    <definedName name="rpd_path">PR!$T$1</definedName>
    <definedName name="sb_path">PR!$T$2</definedName>
    <definedName name="xd">PR!$A:$A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6" l="1"/>
  <c r="K2" i="6" l="1"/>
  <c r="R18" i="6" l="1"/>
  <c r="K6" i="6"/>
  <c r="I13" i="6"/>
  <c r="L6" i="6" l="1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3" i="6"/>
  <c r="L4" i="6"/>
  <c r="L5" i="6"/>
  <c r="L2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3" i="6"/>
  <c r="K4" i="6"/>
  <c r="K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3" i="6"/>
  <c r="J4" i="6"/>
  <c r="J5" i="6"/>
  <c r="J2" i="6"/>
  <c r="I3" i="6"/>
  <c r="I4" i="6"/>
  <c r="I5" i="6"/>
  <c r="I6" i="6"/>
  <c r="I7" i="6"/>
  <c r="I8" i="6"/>
  <c r="I9" i="6"/>
  <c r="I10" i="6"/>
  <c r="I11" i="6"/>
  <c r="I12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2" i="6"/>
  <c r="H24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G3" i="6"/>
  <c r="H3" i="6" s="1"/>
  <c r="H4" i="6"/>
  <c r="G5" i="6"/>
  <c r="H5" i="6" s="1"/>
  <c r="G6" i="6"/>
  <c r="H6" i="6" s="1"/>
  <c r="G7" i="6"/>
  <c r="H7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G25" i="6"/>
  <c r="H25" i="6" s="1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2" i="6"/>
  <c r="H2" i="6" s="1"/>
  <c r="R5" i="6" l="1"/>
  <c r="Q1" i="1" l="1"/>
  <c r="P1" i="1"/>
</calcChain>
</file>

<file path=xl/sharedStrings.xml><?xml version="1.0" encoding="utf-8"?>
<sst xmlns="http://schemas.openxmlformats.org/spreadsheetml/2006/main" count="7470" uniqueCount="3217">
  <si>
    <t>1000QCIJ</t>
  </si>
  <si>
    <t>1054374</t>
  </si>
  <si>
    <t>FW97</t>
  </si>
  <si>
    <t>10</t>
  </si>
  <si>
    <t>COV HOUSING RT BLK</t>
  </si>
  <si>
    <t>PC</t>
  </si>
  <si>
    <t>396</t>
  </si>
  <si>
    <t>35739922</t>
  </si>
  <si>
    <t>454338620</t>
  </si>
  <si>
    <t>20</t>
  </si>
  <si>
    <t>1000QCOM</t>
  </si>
  <si>
    <t>1080233</t>
  </si>
  <si>
    <t>CABL UL 62 EVJE THIN 5.000 BLK   TPE THI</t>
  </si>
  <si>
    <t>M</t>
  </si>
  <si>
    <t>M8487311</t>
  </si>
  <si>
    <t>454338623</t>
  </si>
  <si>
    <t>1000QH7J</t>
  </si>
  <si>
    <t>1069113</t>
  </si>
  <si>
    <t>ASM COV HOUSING</t>
  </si>
  <si>
    <t>35683330</t>
  </si>
  <si>
    <t>454348935</t>
  </si>
  <si>
    <t>1000QXSU</t>
  </si>
  <si>
    <t/>
  </si>
  <si>
    <t>FW86</t>
  </si>
  <si>
    <t>ASM CONN 64 F 0.64 GEN Y 1.2 MCON-CB SLD</t>
  </si>
  <si>
    <t>390</t>
  </si>
  <si>
    <t>35375056</t>
  </si>
  <si>
    <t>454367308</t>
  </si>
  <si>
    <t>1000QLWB</t>
  </si>
  <si>
    <t>1089898</t>
  </si>
  <si>
    <t>DAHQ</t>
  </si>
  <si>
    <t>Ict Fixture thunder MPAD</t>
  </si>
  <si>
    <t>EA</t>
  </si>
  <si>
    <t>393</t>
  </si>
  <si>
    <t>454367686</t>
  </si>
  <si>
    <t>1000QSP5</t>
  </si>
  <si>
    <t>1054044</t>
  </si>
  <si>
    <t>DC01</t>
  </si>
  <si>
    <t>CS_CC GM WCM QTC SEPT-DEC 23 SB Support</t>
  </si>
  <si>
    <t>454375693</t>
  </si>
  <si>
    <t>1000R0AJ</t>
  </si>
  <si>
    <t>FV38</t>
  </si>
  <si>
    <t>Expedite fee LEXINGTON RUBBER GROUP, INC</t>
  </si>
  <si>
    <t>454367309</t>
  </si>
  <si>
    <t>1000QJFD</t>
  </si>
  <si>
    <t>1071376</t>
  </si>
  <si>
    <t>FV37</t>
  </si>
  <si>
    <t>expedite fee</t>
  </si>
  <si>
    <t>454366603</t>
  </si>
  <si>
    <t>1000R1WH</t>
  </si>
  <si>
    <t>1037794</t>
  </si>
  <si>
    <t>FR03</t>
  </si>
  <si>
    <t>MX35468 - C19010 R580S 0.2 mm x 30.5 mm</t>
  </si>
  <si>
    <t>454370791</t>
  </si>
  <si>
    <t>1000PTQG</t>
  </si>
  <si>
    <t>1006853</t>
  </si>
  <si>
    <t>FW64</t>
  </si>
  <si>
    <t>35529572/35529581//EXPEDITE FEE</t>
  </si>
  <si>
    <t>454366952</t>
  </si>
  <si>
    <t>1000QDQW</t>
  </si>
  <si>
    <t>1034942</t>
  </si>
  <si>
    <t>FW81</t>
  </si>
  <si>
    <t>13641940 , 15532567, 10863635</t>
  </si>
  <si>
    <t>454369716</t>
  </si>
  <si>
    <t>1000QCO9</t>
  </si>
  <si>
    <t>1070381</t>
  </si>
  <si>
    <t>80</t>
  </si>
  <si>
    <t>EXPEDITE FEE / TE CONNECTIVITY / FW86 /</t>
  </si>
  <si>
    <t>454367310</t>
  </si>
  <si>
    <t>1000QZOH</t>
  </si>
  <si>
    <t>ASM GROM DOOR CDT LT</t>
  </si>
  <si>
    <t>35231433</t>
  </si>
  <si>
    <t>454367258</t>
  </si>
  <si>
    <t>1000QL2O</t>
  </si>
  <si>
    <t>1089560</t>
  </si>
  <si>
    <t>FV01</t>
  </si>
  <si>
    <t>TORQUE STATION EVEREST M-TRACTION</t>
  </si>
  <si>
    <t>394</t>
  </si>
  <si>
    <t>454390471</t>
  </si>
  <si>
    <t>1000R1VG</t>
  </si>
  <si>
    <t>CS_ASUX 10055469 - MY24 Stellantis JL BU</t>
  </si>
  <si>
    <t>454369717</t>
  </si>
  <si>
    <t>1000QZDW</t>
  </si>
  <si>
    <t>1064047</t>
  </si>
  <si>
    <t>35688689 Lock ~ DCT1400</t>
  </si>
  <si>
    <t>454366947</t>
  </si>
  <si>
    <t>1000R22D</t>
  </si>
  <si>
    <t>FW98</t>
  </si>
  <si>
    <t>35698446-PM-A-0001 Revision Tool</t>
  </si>
  <si>
    <t>454369390</t>
  </si>
  <si>
    <t>1000R0FY</t>
  </si>
  <si>
    <t>1043613</t>
  </si>
  <si>
    <t>NACS_CES Beauty Plate Soft tooling with</t>
  </si>
  <si>
    <t>454410509</t>
  </si>
  <si>
    <t>1000R0Z3</t>
  </si>
  <si>
    <t>1089134</t>
  </si>
  <si>
    <t>FR01</t>
  </si>
  <si>
    <t>PE564263 - RAPID PROTOTYPE TOOLING</t>
  </si>
  <si>
    <t>454367592</t>
  </si>
  <si>
    <t>1000R16C</t>
  </si>
  <si>
    <t>1009746</t>
  </si>
  <si>
    <t>CoolingUnit LWK 24V T22</t>
  </si>
  <si>
    <t>454369773</t>
  </si>
  <si>
    <t>1000QU7P</t>
  </si>
  <si>
    <t>1019742</t>
  </si>
  <si>
    <t>Estimated Duties and Fees</t>
  </si>
  <si>
    <t>SVC</t>
  </si>
  <si>
    <t>454367768</t>
  </si>
  <si>
    <t>1000R246</t>
  </si>
  <si>
    <t>FV34</t>
  </si>
  <si>
    <t>CONN 2 F 14.5  BLK</t>
  </si>
  <si>
    <t>35524923</t>
  </si>
  <si>
    <t>454367531</t>
  </si>
  <si>
    <t>1000QURS</t>
  </si>
  <si>
    <t>1063085</t>
  </si>
  <si>
    <t>FR07</t>
  </si>
  <si>
    <t>Plant 7 - New Scanner UAT &amp; Deplayment</t>
  </si>
  <si>
    <t>395</t>
  </si>
  <si>
    <t>454369485</t>
  </si>
  <si>
    <t>1000R1V6</t>
  </si>
  <si>
    <t>CS_ASUX 10034853 MY24 Stellantis DT Vehi</t>
  </si>
  <si>
    <t>454369793</t>
  </si>
  <si>
    <t>1000R1VJ</t>
  </si>
  <si>
    <t>CS_ASUX 10055888 MY25 Stellantis MAS CAD</t>
  </si>
  <si>
    <t>454369406</t>
  </si>
  <si>
    <t>1000R1VX</t>
  </si>
  <si>
    <t>CS_ASUX 10055577 - Vision Q4</t>
  </si>
  <si>
    <t>454379188</t>
  </si>
  <si>
    <t>1000R1X7</t>
  </si>
  <si>
    <t>CS_ASUX 10055623 MY25 Stellantis EJ_ KM_</t>
  </si>
  <si>
    <t>454379405</t>
  </si>
  <si>
    <t>1000R1XI</t>
  </si>
  <si>
    <t>CS_ASUX 10056084 - DJ RFHM  Q4</t>
  </si>
  <si>
    <t>454383414</t>
  </si>
  <si>
    <t>1000R0DJ</t>
  </si>
  <si>
    <t>1032362</t>
  </si>
  <si>
    <t>35764711 TERM ~ DCT1400 PV Test</t>
  </si>
  <si>
    <t>454379192</t>
  </si>
  <si>
    <t>1000R12N</t>
  </si>
  <si>
    <t>1030176</t>
  </si>
  <si>
    <t>35584334MB MCA AC MIT HVT SERRATION REVI</t>
  </si>
  <si>
    <t>454378015</t>
  </si>
  <si>
    <t>1000R1YK</t>
  </si>
  <si>
    <t>1027663</t>
  </si>
  <si>
    <t>ASAP2 Tool-Set Server Edition Windows</t>
  </si>
  <si>
    <t>454367875</t>
  </si>
  <si>
    <t>1000Q5L0</t>
  </si>
  <si>
    <t>1011202</t>
  </si>
  <si>
    <t>EW01</t>
  </si>
  <si>
    <t>Keyboard and adaptor for Apple equipment</t>
  </si>
  <si>
    <t>1000R1UJ</t>
  </si>
  <si>
    <t>1009920</t>
  </si>
  <si>
    <t>35692155 HVT</t>
  </si>
  <si>
    <t>454372142</t>
  </si>
  <si>
    <t>1000R3LX</t>
  </si>
  <si>
    <t>FW96</t>
  </si>
  <si>
    <t>EXPEDITE FEE APN 13520460 PIOLAX</t>
  </si>
  <si>
    <t>454368139</t>
  </si>
  <si>
    <t>1000R3P7</t>
  </si>
  <si>
    <t>MOUN WIRE TIE CLIP HD BLK   ROSEBUD</t>
  </si>
  <si>
    <t>33135915</t>
  </si>
  <si>
    <t>454368671</t>
  </si>
  <si>
    <t>1000R2ON</t>
  </si>
  <si>
    <t>1077850</t>
  </si>
  <si>
    <t>Project Management Effort</t>
  </si>
  <si>
    <t>454369489</t>
  </si>
  <si>
    <t>1000QVNA</t>
  </si>
  <si>
    <t>Quantum - LTO Ultrium 8 x 1 - 12 TB - st</t>
  </si>
  <si>
    <t>454371555</t>
  </si>
  <si>
    <t>1000R12B</t>
  </si>
  <si>
    <t>vFlash</t>
  </si>
  <si>
    <t>454367306</t>
  </si>
  <si>
    <t>1000QVEH</t>
  </si>
  <si>
    <t>1014165</t>
  </si>
  <si>
    <t>Rear Floor Grommet APN 35796572</t>
  </si>
  <si>
    <t>454369792</t>
  </si>
  <si>
    <t>1000R072</t>
  </si>
  <si>
    <t>1090145</t>
  </si>
  <si>
    <t>10m Mellanox HDR IB Active Optical QSFP5</t>
  </si>
  <si>
    <t>454369487</t>
  </si>
  <si>
    <t>1000R1VO</t>
  </si>
  <si>
    <t>CS_ASUX 10055542 - GEN7 IFV7XX Q4</t>
  </si>
  <si>
    <t>454379193</t>
  </si>
  <si>
    <t>1000R1W6</t>
  </si>
  <si>
    <t>CS_ASUX 10034247 MY2024 Stellantis DT Me</t>
  </si>
  <si>
    <t>454376908</t>
  </si>
  <si>
    <t>1000R1VS</t>
  </si>
  <si>
    <t>CS_ASUX 10035743 MY24 Stellantis Thunder</t>
  </si>
  <si>
    <t>454378010</t>
  </si>
  <si>
    <t>1000QYB1</t>
  </si>
  <si>
    <t>1018851</t>
  </si>
  <si>
    <t>SAP Training Renewal &amp; Add 3 Users</t>
  </si>
  <si>
    <t>454369488</t>
  </si>
  <si>
    <t>1000R0PO</t>
  </si>
  <si>
    <t>Business One Consultant support</t>
  </si>
  <si>
    <t>454375479</t>
  </si>
  <si>
    <t>1000R3MV</t>
  </si>
  <si>
    <t>1022519</t>
  </si>
  <si>
    <t>35094666  ASM MOUN WIRE TIE CLIP HD BLK</t>
  </si>
  <si>
    <t>454367317</t>
  </si>
  <si>
    <t>1000R2UH</t>
  </si>
  <si>
    <t>1062948</t>
  </si>
  <si>
    <t>M6283101 RTK031 Cable ~ MCA Ford</t>
  </si>
  <si>
    <t>454376909</t>
  </si>
  <si>
    <t>1000R0DO</t>
  </si>
  <si>
    <t>1067410</t>
  </si>
  <si>
    <t>Installation of Switch – GSL# 251 Lisbon</t>
  </si>
  <si>
    <t>454367548</t>
  </si>
  <si>
    <t>1000QK3A</t>
  </si>
  <si>
    <t>1078742</t>
  </si>
  <si>
    <t>HN11</t>
  </si>
  <si>
    <t>Section A–Cable Auto Loading Unit/Machin</t>
  </si>
  <si>
    <t>454375005</t>
  </si>
  <si>
    <t>1000QVJR</t>
  </si>
  <si>
    <t>1089631</t>
  </si>
  <si>
    <t>FV39</t>
  </si>
  <si>
    <t>Bolt Press Tooling</t>
  </si>
  <si>
    <t>454387629</t>
  </si>
  <si>
    <t>1000R2XE</t>
  </si>
  <si>
    <t>ASM CONN 10 F 0.64  BLK</t>
  </si>
  <si>
    <t>454368674</t>
  </si>
  <si>
    <t>1000R09K</t>
  </si>
  <si>
    <t>1043460</t>
  </si>
  <si>
    <t>Second EOL for PLCM program</t>
  </si>
  <si>
    <t>454387627</t>
  </si>
  <si>
    <t>1000QU9B</t>
  </si>
  <si>
    <t>1084516</t>
  </si>
  <si>
    <t>Fixture Assembly and Material</t>
  </si>
  <si>
    <t>454378332</t>
  </si>
  <si>
    <t>1000QU8E</t>
  </si>
  <si>
    <t>1070137</t>
  </si>
  <si>
    <t>Front Housing - Ford DUAL C</t>
  </si>
  <si>
    <t>454369719</t>
  </si>
  <si>
    <t>1000QU8K</t>
  </si>
  <si>
    <t>454370771</t>
  </si>
  <si>
    <t>1000QTNS</t>
  </si>
  <si>
    <t>1018529</t>
  </si>
  <si>
    <t>FR10</t>
  </si>
  <si>
    <t>2278-12 / PR4500-80 / 10023769 / L0201</t>
  </si>
  <si>
    <t>MON</t>
  </si>
  <si>
    <t>454370862</t>
  </si>
  <si>
    <t>1000QTNW</t>
  </si>
  <si>
    <t>2278-13 / B40X-5 / SN FBB01-1390-00135</t>
  </si>
  <si>
    <t>454370398</t>
  </si>
  <si>
    <t>1000QTNX</t>
  </si>
  <si>
    <t>FR11</t>
  </si>
  <si>
    <t>2278-12 / SP3520-30 / 1A482131 / L1106</t>
  </si>
  <si>
    <t>454370399</t>
  </si>
  <si>
    <t>1000PDU7</t>
  </si>
  <si>
    <t>1012860</t>
  </si>
  <si>
    <t>Mathcad Prime 9 License</t>
  </si>
  <si>
    <t>1000R2XK</t>
  </si>
  <si>
    <t>1067014</t>
  </si>
  <si>
    <t>FW93</t>
  </si>
  <si>
    <t>EXP FEE PARA CONSTRUIR NP: 35309839</t>
  </si>
  <si>
    <t>454370769</t>
  </si>
  <si>
    <t>1000R2PM</t>
  </si>
  <si>
    <t>1058540</t>
  </si>
  <si>
    <t>EOAT tool number 35758034</t>
  </si>
  <si>
    <t>454375690</t>
  </si>
  <si>
    <t>1000R2SC</t>
  </si>
  <si>
    <t>6W Continental Module</t>
  </si>
  <si>
    <t>1000R0IU</t>
  </si>
  <si>
    <t>FV56</t>
  </si>
  <si>
    <t>ASM CONN 3 F GT 280 BLK SLD</t>
  </si>
  <si>
    <t>15326614</t>
  </si>
  <si>
    <t>454374579</t>
  </si>
  <si>
    <t>1000R0J1</t>
  </si>
  <si>
    <t>ASM CONN 4 F APEX 2.8 MULTI SLD</t>
  </si>
  <si>
    <t>33234267</t>
  </si>
  <si>
    <t>454371848</t>
  </si>
  <si>
    <t>1000QWJQ</t>
  </si>
  <si>
    <t>1059106</t>
  </si>
  <si>
    <t>Critical metal rework on plant FV39 M36</t>
  </si>
  <si>
    <t>454377212</t>
  </si>
  <si>
    <t>1000QS1E</t>
  </si>
  <si>
    <t>1077438</t>
  </si>
  <si>
    <t>TRANSMAQ, Invoices 4729 / 4730 August 20</t>
  </si>
  <si>
    <t>454376905</t>
  </si>
  <si>
    <t>1000R1XW</t>
  </si>
  <si>
    <t>CS_ASUX 10056512 MY25 Stellantis WL Mega</t>
  </si>
  <si>
    <t>454378011</t>
  </si>
  <si>
    <t>1000R1Y2</t>
  </si>
  <si>
    <t>CS_ASUX 10056234 MY25 Stellantis WS Mega</t>
  </si>
  <si>
    <t>454378009</t>
  </si>
  <si>
    <t>1000R1Y7</t>
  </si>
  <si>
    <t>CS_ASUX 10057327 MY26 Maserati MC20 Mega</t>
  </si>
  <si>
    <t>454385168</t>
  </si>
  <si>
    <t>1000QYQA</t>
  </si>
  <si>
    <t>FX02</t>
  </si>
  <si>
    <t>35506490</t>
  </si>
  <si>
    <t>454379411</t>
  </si>
  <si>
    <t>1000QXVB</t>
  </si>
  <si>
    <t>1076280</t>
  </si>
  <si>
    <t>M8610101</t>
  </si>
  <si>
    <t>454385169</t>
  </si>
  <si>
    <t>1000R0CN</t>
  </si>
  <si>
    <t>1083402</t>
  </si>
  <si>
    <t>AK class 4 proto full assembly</t>
  </si>
  <si>
    <t>454378704</t>
  </si>
  <si>
    <t>1000R56J</t>
  </si>
  <si>
    <t>FV50</t>
  </si>
  <si>
    <t>Expedite fee NP 15502155</t>
  </si>
  <si>
    <t>454371213</t>
  </si>
  <si>
    <t>1000R2S2</t>
  </si>
  <si>
    <t>1020845</t>
  </si>
  <si>
    <t>35813255-COMP MCA</t>
  </si>
  <si>
    <t>454378884</t>
  </si>
  <si>
    <t>1000QV4C</t>
  </si>
  <si>
    <t>Vertex Upgrade - Consultancy Services</t>
  </si>
  <si>
    <t>454392030</t>
  </si>
  <si>
    <t>1000R16V</t>
  </si>
  <si>
    <t>1014224</t>
  </si>
  <si>
    <t>MOUN CLIP CONN BLK</t>
  </si>
  <si>
    <t>13862086</t>
  </si>
  <si>
    <t>454379543</t>
  </si>
  <si>
    <t>1000QXVK</t>
  </si>
  <si>
    <t>1001336</t>
  </si>
  <si>
    <t>35677343</t>
  </si>
  <si>
    <t>454379968</t>
  </si>
  <si>
    <t>35506381</t>
  </si>
  <si>
    <t>1000R5ZX</t>
  </si>
  <si>
    <t>1064050</t>
  </si>
  <si>
    <t>35610430 Seal ~ Rivian MBVS</t>
  </si>
  <si>
    <t>454371338</t>
  </si>
  <si>
    <t>1000R2WH</t>
  </si>
  <si>
    <t>454375406</t>
  </si>
  <si>
    <t>1000R2WJ</t>
  </si>
  <si>
    <t>SEGUNDO EXPEDITE FEE APN 33182010 PIOLAX</t>
  </si>
  <si>
    <t>454374586</t>
  </si>
  <si>
    <t>1000R2WO</t>
  </si>
  <si>
    <t>ASM MOUN WIRE TIE CLIP HD GRA   ROSEBUD</t>
  </si>
  <si>
    <t>13530084</t>
  </si>
  <si>
    <t>454375129</t>
  </si>
  <si>
    <t>1000R2WP</t>
  </si>
  <si>
    <t>MOUN CLIP STRAP BLK    M6</t>
  </si>
  <si>
    <t>15386019</t>
  </si>
  <si>
    <t>454375394</t>
  </si>
  <si>
    <t>1000R2WT</t>
  </si>
  <si>
    <t>454375400</t>
  </si>
  <si>
    <t>1000R17P</t>
  </si>
  <si>
    <t>1054596</t>
  </si>
  <si>
    <t>FW66</t>
  </si>
  <si>
    <t>SLEV OVERLAP    ID=16.00  OD=17.20 L=150</t>
  </si>
  <si>
    <t>M5596E15</t>
  </si>
  <si>
    <t>454374090</t>
  </si>
  <si>
    <t>1000R1IG</t>
  </si>
  <si>
    <t>1059579</t>
  </si>
  <si>
    <t>Network Configuration - Cisco Switch &amp; W</t>
  </si>
  <si>
    <t>454372153</t>
  </si>
  <si>
    <t>1000QNWE</t>
  </si>
  <si>
    <t>1030204</t>
  </si>
  <si>
    <t>Vertex SIC - Q Series License Subscripti</t>
  </si>
  <si>
    <t>454371393</t>
  </si>
  <si>
    <t>1000R6NO</t>
  </si>
  <si>
    <t>15416310  ASM CONN 10 F 0.64  BLK</t>
  </si>
  <si>
    <t>454371707</t>
  </si>
  <si>
    <t>1000R52C</t>
  </si>
  <si>
    <t>1068810</t>
  </si>
  <si>
    <t>35829178 - EMI Shield Base</t>
  </si>
  <si>
    <t>454377206</t>
  </si>
  <si>
    <t>1000R4HM</t>
  </si>
  <si>
    <t>ASM GROM DOOR CDT</t>
  </si>
  <si>
    <t>35228893</t>
  </si>
  <si>
    <t>454371705</t>
  </si>
  <si>
    <t>1000QTRO</t>
  </si>
  <si>
    <t>1024681</t>
  </si>
  <si>
    <t>ASM MOUN CLAMP CDT ML 30MM/35241902</t>
  </si>
  <si>
    <t>454379541</t>
  </si>
  <si>
    <t>1000QV6V</t>
  </si>
  <si>
    <t>1014171</t>
  </si>
  <si>
    <t>PN 35817757 - INJ MOLD - MOUNT-GROM</t>
  </si>
  <si>
    <t>454421054</t>
  </si>
  <si>
    <t>1000R11B</t>
  </si>
  <si>
    <t>1088414</t>
  </si>
  <si>
    <t>35688726 Term ~ DCT1400 PV TEST</t>
  </si>
  <si>
    <t>454378233</t>
  </si>
  <si>
    <t>1000R6NF</t>
  </si>
  <si>
    <t>M6171012</t>
  </si>
  <si>
    <t>454375412</t>
  </si>
  <si>
    <t>1000R6NK</t>
  </si>
  <si>
    <t>M6170801</t>
  </si>
  <si>
    <t>454375696</t>
  </si>
  <si>
    <t>1000R6O6</t>
  </si>
  <si>
    <t>M6170CRX</t>
  </si>
  <si>
    <t>454375003</t>
  </si>
  <si>
    <t>1000R2QE</t>
  </si>
  <si>
    <t>CDW - RDS Licenses</t>
  </si>
  <si>
    <t>454380531</t>
  </si>
  <si>
    <t>1000R3NV</t>
  </si>
  <si>
    <t>1063123</t>
  </si>
  <si>
    <t>Production tooling for seal 35710519</t>
  </si>
  <si>
    <t>454379156</t>
  </si>
  <si>
    <t>1000R4FF</t>
  </si>
  <si>
    <t>GES/SAP to GSD Data transfer</t>
  </si>
  <si>
    <t>454377574</t>
  </si>
  <si>
    <t>1000R6PK</t>
  </si>
  <si>
    <t>1031473</t>
  </si>
  <si>
    <t>EXPEDITE FEE TO CAPLUGS APN 35541008</t>
  </si>
  <si>
    <t>454375404</t>
  </si>
  <si>
    <t>1000R2W4</t>
  </si>
  <si>
    <t>MOUN BRKT CLIP C-CLASP BLK 15MM  22MM</t>
  </si>
  <si>
    <t>13953306</t>
  </si>
  <si>
    <t>454375133</t>
  </si>
  <si>
    <t>1000R2W7</t>
  </si>
  <si>
    <t>EXPEDITE FEE APN 33182010 PIOLAX</t>
  </si>
  <si>
    <t>454375692</t>
  </si>
  <si>
    <t>1000R2WD</t>
  </si>
  <si>
    <t>MOUN CLIP TAPE ON BLK   ROSEBUD</t>
  </si>
  <si>
    <t>33182008</t>
  </si>
  <si>
    <t>454375411</t>
  </si>
  <si>
    <t>1000R5ZZ</t>
  </si>
  <si>
    <t>Tool 35499726 IMR A 0001 DETAIL 3011</t>
  </si>
  <si>
    <t>454375130</t>
  </si>
  <si>
    <t>1000R601</t>
  </si>
  <si>
    <t>Tool 35499703 IMR A 0001 DETAIL 1051</t>
  </si>
  <si>
    <t>454375695</t>
  </si>
  <si>
    <t>1000R4FS</t>
  </si>
  <si>
    <t>Additional reversible change TN 35639982</t>
  </si>
  <si>
    <t>454378872</t>
  </si>
  <si>
    <t>1000R3QY</t>
  </si>
  <si>
    <t>35688678 PM A 0001 Revision Tool</t>
  </si>
  <si>
    <t>454375705</t>
  </si>
  <si>
    <t>1000R2Q6</t>
  </si>
  <si>
    <t>1068327</t>
  </si>
  <si>
    <t>PR Cambio de ingenieria año y modelo</t>
  </si>
  <si>
    <t>454377222</t>
  </si>
  <si>
    <t>1000R6P3</t>
  </si>
  <si>
    <t>PE584768_02 Conn Seal Samples</t>
  </si>
  <si>
    <t>454376025</t>
  </si>
  <si>
    <t>1000R79H</t>
  </si>
  <si>
    <t>1070139</t>
  </si>
  <si>
    <t>100pcs PN 35394003 top housing</t>
  </si>
  <si>
    <t>454376018</t>
  </si>
  <si>
    <t>1000R2WU</t>
  </si>
  <si>
    <t>1063326</t>
  </si>
  <si>
    <t>35798946 PM A 0001. Revision Tool</t>
  </si>
  <si>
    <t>454376021</t>
  </si>
  <si>
    <t>1000R53V</t>
  </si>
  <si>
    <t>35758034 Inner base</t>
  </si>
  <si>
    <t>454376907</t>
  </si>
  <si>
    <t>1000R6RI</t>
  </si>
  <si>
    <t>Expedite Fee PN 13887788 (1674922-1) TYC</t>
  </si>
  <si>
    <t>454376026</t>
  </si>
  <si>
    <t>1000R51C</t>
  </si>
  <si>
    <t>MS Office 2019 perpetual Licenses</t>
  </si>
  <si>
    <t>454372160</t>
  </si>
  <si>
    <t>1000R26D</t>
  </si>
  <si>
    <t>1086611</t>
  </si>
  <si>
    <t>Disco Duro Externo SSD 2TB Adata SC610-2</t>
  </si>
  <si>
    <t>454372045</t>
  </si>
  <si>
    <t>1000R5XF</t>
  </si>
  <si>
    <t>1086513</t>
  </si>
  <si>
    <t>OPTIPLEX 7010 CORE I5 16GB 512 SSD</t>
  </si>
  <si>
    <t>454372046</t>
  </si>
  <si>
    <t>1000R26L</t>
  </si>
  <si>
    <t>1086580</t>
  </si>
  <si>
    <t>SIMATIC S7-300 MODULO DE ENTRADAS DIGITA</t>
  </si>
  <si>
    <t>454372047</t>
  </si>
  <si>
    <t>PB3M</t>
  </si>
  <si>
    <t>CONTACTOR</t>
  </si>
  <si>
    <t>XPK3C16491</t>
  </si>
  <si>
    <t>454394944</t>
  </si>
  <si>
    <t>1000QXLQ</t>
  </si>
  <si>
    <t>RITM2094442</t>
  </si>
  <si>
    <t>454380519</t>
  </si>
  <si>
    <t>1000R7EK</t>
  </si>
  <si>
    <t>35685918   ASM CONN 46 F 0.64 GEN Y 1.2</t>
  </si>
  <si>
    <t>454375408</t>
  </si>
  <si>
    <t>1000R2UL</t>
  </si>
  <si>
    <t>1055771</t>
  </si>
  <si>
    <t>Setup GSI For Connection Systems</t>
  </si>
  <si>
    <t>454377580</t>
  </si>
  <si>
    <t>1000PG0F</t>
  </si>
  <si>
    <t>1055427</t>
  </si>
  <si>
    <t>FT23</t>
  </si>
  <si>
    <t>Crib Salary &amp;Supplies recurring service</t>
  </si>
  <si>
    <t>454376302</t>
  </si>
  <si>
    <t>1000R4XS</t>
  </si>
  <si>
    <t>35365013 Ferrule ~ Stellantis CA Mule</t>
  </si>
  <si>
    <t>454379183</t>
  </si>
  <si>
    <t>1000R7WA</t>
  </si>
  <si>
    <t>1040026</t>
  </si>
  <si>
    <t>Junction Box ~ CES Kiosk</t>
  </si>
  <si>
    <t>454378583</t>
  </si>
  <si>
    <t>1000R2R9</t>
  </si>
  <si>
    <t>1014065</t>
  </si>
  <si>
    <t>35770218 ~ Replace PO 454329986</t>
  </si>
  <si>
    <t>454378227</t>
  </si>
  <si>
    <t>1000QZ6B</t>
  </si>
  <si>
    <t>1085229</t>
  </si>
  <si>
    <t>Trian3D Drive</t>
  </si>
  <si>
    <t>454378465</t>
  </si>
  <si>
    <t>1000R4ZX</t>
  </si>
  <si>
    <t>COV CONN END CAP BLK</t>
  </si>
  <si>
    <t>35720061</t>
  </si>
  <si>
    <t>454378229</t>
  </si>
  <si>
    <t>1000R3KU</t>
  </si>
  <si>
    <t>1088828</t>
  </si>
  <si>
    <t>ASM SUBH ETHERNET</t>
  </si>
  <si>
    <t>35806222</t>
  </si>
  <si>
    <t>454378701</t>
  </si>
  <si>
    <t>1000R60F</t>
  </si>
  <si>
    <t>1036533</t>
  </si>
  <si>
    <t>PE541969 O-ring</t>
  </si>
  <si>
    <t>454378230</t>
  </si>
  <si>
    <t>1000R7CY</t>
  </si>
  <si>
    <t>1009516</t>
  </si>
  <si>
    <t>35777392_11MAY23</t>
  </si>
  <si>
    <t>454383487</t>
  </si>
  <si>
    <t>1000R7D3</t>
  </si>
  <si>
    <t>35777400 TERMINAL</t>
  </si>
  <si>
    <t>454379081</t>
  </si>
  <si>
    <t>1000QRYB</t>
  </si>
  <si>
    <t>1069246</t>
  </si>
  <si>
    <t>35692099 FCT NRE</t>
  </si>
  <si>
    <t>454378875</t>
  </si>
  <si>
    <t>1000R8NI</t>
  </si>
  <si>
    <t>Expedite fee PN 35642594</t>
  </si>
  <si>
    <t>454378231</t>
  </si>
  <si>
    <t>1000R7EP</t>
  </si>
  <si>
    <t>1009355</t>
  </si>
  <si>
    <t>FV55</t>
  </si>
  <si>
    <t>EXPEDITE FEE</t>
  </si>
  <si>
    <t>454377471</t>
  </si>
  <si>
    <t>1000R8MH</t>
  </si>
  <si>
    <t>FW62</t>
  </si>
  <si>
    <t>ASM TERM  F 1.5 MQS AG</t>
  </si>
  <si>
    <t>454380308</t>
  </si>
  <si>
    <t>1000R5WM</t>
  </si>
  <si>
    <t>1058786</t>
  </si>
  <si>
    <t>PE564687_02 Inner Connector Setup Charge</t>
  </si>
  <si>
    <t>454378997</t>
  </si>
  <si>
    <t>1000R77A</t>
  </si>
  <si>
    <t>M5345121-BABY BOX Conduit ~ Stellantis C</t>
  </si>
  <si>
    <t>FT</t>
  </si>
  <si>
    <t>454378228</t>
  </si>
  <si>
    <t>1000R797</t>
  </si>
  <si>
    <t>35681400 HVT</t>
  </si>
  <si>
    <t>454378480</t>
  </si>
  <si>
    <t>1000R3E8</t>
  </si>
  <si>
    <t>454413547</t>
  </si>
  <si>
    <t>1000R3OE</t>
  </si>
  <si>
    <t>35688682</t>
  </si>
  <si>
    <t>454378702</t>
  </si>
  <si>
    <t>1000R7XX</t>
  </si>
  <si>
    <t>35172744 TERM ~ Stellantis</t>
  </si>
  <si>
    <t>454408866</t>
  </si>
  <si>
    <t>1000QYS3</t>
  </si>
  <si>
    <t>Insert to remove Part number in tool 350</t>
  </si>
  <si>
    <t>454378154</t>
  </si>
  <si>
    <t>1000R6RL</t>
  </si>
  <si>
    <t>ASM CHAN DR BLK</t>
  </si>
  <si>
    <t>35785954</t>
  </si>
  <si>
    <t>454378873</t>
  </si>
  <si>
    <t>1000R0ZH</t>
  </si>
  <si>
    <t>PE564266 - RAPID PROTOTYPES</t>
  </si>
  <si>
    <t>454378876</t>
  </si>
  <si>
    <t>1000R0ZU</t>
  </si>
  <si>
    <t>PE564260 - RAPID PROTOTYPE TOOLING</t>
  </si>
  <si>
    <t>454379160</t>
  </si>
  <si>
    <t>1000R134</t>
  </si>
  <si>
    <t>COV WIRE DRESS RT ANGLE BLK</t>
  </si>
  <si>
    <t>454378573</t>
  </si>
  <si>
    <t>1000R7G7</t>
  </si>
  <si>
    <t>QTC_2023_Oct_Quotation_SPS_PDBs_CX482E 1</t>
  </si>
  <si>
    <t>454385177</t>
  </si>
  <si>
    <t>1000R96P</t>
  </si>
  <si>
    <t>1086022</t>
  </si>
  <si>
    <t>35735577 SUBH ASM ~ Stellantis CA Mule</t>
  </si>
  <si>
    <t>454378877</t>
  </si>
  <si>
    <t>1000R853</t>
  </si>
  <si>
    <t>ASM TERM F 6.3 AG SEALED</t>
  </si>
  <si>
    <t>454379190</t>
  </si>
  <si>
    <t>1000R6KL</t>
  </si>
  <si>
    <t>1068688</t>
  </si>
  <si>
    <t>HEADER-3-PIN, 0.80 x 0.64 BLADE</t>
  </si>
  <si>
    <t>454379191</t>
  </si>
  <si>
    <t>1000R8GJ</t>
  </si>
  <si>
    <t>PE540858 Terminal DCT2200</t>
  </si>
  <si>
    <t>454380763</t>
  </si>
  <si>
    <t>1000R8L1</t>
  </si>
  <si>
    <t>1008950</t>
  </si>
  <si>
    <t>PE590685 ASM SUBH ~ MCA</t>
  </si>
  <si>
    <t>454380767</t>
  </si>
  <si>
    <t>1000R7EW</t>
  </si>
  <si>
    <t>1011025</t>
  </si>
  <si>
    <t>SYSTEM ACCEPTANCE TEST AT CSZ PRIOR TO S</t>
  </si>
  <si>
    <t>454420471</t>
  </si>
  <si>
    <t>1000R9D3</t>
  </si>
  <si>
    <t>1062318</t>
  </si>
  <si>
    <t>030-2409-001</t>
  </si>
  <si>
    <t>454378699</t>
  </si>
  <si>
    <t>1000R838</t>
  </si>
  <si>
    <t>1071650</t>
  </si>
  <si>
    <t>PE590286 Pigtail ~ Stellantis DT_WS</t>
  </si>
  <si>
    <t>454379195</t>
  </si>
  <si>
    <t>1000R9I2</t>
  </si>
  <si>
    <t>REV TOOL /ADD PN 35343895-PM-A-0001</t>
  </si>
  <si>
    <t>454383575</t>
  </si>
  <si>
    <t>1000R9I4</t>
  </si>
  <si>
    <t>33191146-IMR-B-0002 ADD COMONEO SYSTEM T</t>
  </si>
  <si>
    <t>454378878</t>
  </si>
  <si>
    <t>1000R99Y</t>
  </si>
  <si>
    <t>1068570</t>
  </si>
  <si>
    <t>35711510 Lightpipe ~ HHMI Inlet Stellant</t>
  </si>
  <si>
    <t>454378879</t>
  </si>
  <si>
    <t>1000R97J</t>
  </si>
  <si>
    <t>Engineering Samples 35433738</t>
  </si>
  <si>
    <t>454379404</t>
  </si>
  <si>
    <t>1000QC53</t>
  </si>
  <si>
    <t>1086575</t>
  </si>
  <si>
    <t>P2422H Monitor Dell Modelo P2422H - Pant</t>
  </si>
  <si>
    <t>454378566</t>
  </si>
  <si>
    <t>1000R8SL</t>
  </si>
  <si>
    <t>1086457</t>
  </si>
  <si>
    <t>Rollo de Cable de RED Categoría #6 Pandu</t>
  </si>
  <si>
    <t>454378585</t>
  </si>
  <si>
    <t>1000R536</t>
  </si>
  <si>
    <t>1077397</t>
  </si>
  <si>
    <t>Extract Aptiv EntryB data 2</t>
  </si>
  <si>
    <t>454378586</t>
  </si>
  <si>
    <t>1000R8O4</t>
  </si>
  <si>
    <t>1013016</t>
  </si>
  <si>
    <t>Need to pay CA taxes</t>
  </si>
  <si>
    <t>454378588</t>
  </si>
  <si>
    <t>1000R864</t>
  </si>
  <si>
    <t>1011676</t>
  </si>
  <si>
    <t>NI GPIB-USB-HS+</t>
  </si>
  <si>
    <t>454378589</t>
  </si>
  <si>
    <t>1000R79Y</t>
  </si>
  <si>
    <t>1072673</t>
  </si>
  <si>
    <t>Tooling costs , Cavity Connector Cover</t>
  </si>
  <si>
    <t>454379967</t>
  </si>
  <si>
    <t>1000R7A8</t>
  </si>
  <si>
    <t>1063567</t>
  </si>
  <si>
    <t>Inductor</t>
  </si>
  <si>
    <t>454379539</t>
  </si>
  <si>
    <t>1000R6NJ</t>
  </si>
  <si>
    <t>1013869</t>
  </si>
  <si>
    <t>Tooling costs</t>
  </si>
  <si>
    <t>454390053</t>
  </si>
  <si>
    <t>1000R9ZN</t>
  </si>
  <si>
    <t>35715656 Term ~ Stellantis CA Mule</t>
  </si>
  <si>
    <t>454379403</t>
  </si>
  <si>
    <t>1000R9DG</t>
  </si>
  <si>
    <t>35717071 AMEC SUBH ~ Condumex</t>
  </si>
  <si>
    <t>454379540</t>
  </si>
  <si>
    <t>1000R8JV</t>
  </si>
  <si>
    <t>ASM CONN 6 F GT 150 BLK SLD</t>
  </si>
  <si>
    <t>15326830</t>
  </si>
  <si>
    <t>454389096</t>
  </si>
  <si>
    <t>1000QTS7</t>
  </si>
  <si>
    <t>1005933</t>
  </si>
  <si>
    <t>35777434 HVIL BEV HVBS - PPIM</t>
  </si>
  <si>
    <t>454378885</t>
  </si>
  <si>
    <t>1000R9GR</t>
  </si>
  <si>
    <t>Tooling dies and nests for STLA F HV PDC</t>
  </si>
  <si>
    <t>454378705</t>
  </si>
  <si>
    <t>1000R7EO</t>
  </si>
  <si>
    <t>1034155</t>
  </si>
  <si>
    <t>PE591859 - PROTOTYPE PART ASSMEBLY</t>
  </si>
  <si>
    <t>454380697</t>
  </si>
  <si>
    <t>1000R80B</t>
  </si>
  <si>
    <t>1005739</t>
  </si>
  <si>
    <t>LH FRT Door channel P/N 35785950.</t>
  </si>
  <si>
    <t>454385179</t>
  </si>
  <si>
    <t>1000RA0O</t>
  </si>
  <si>
    <t>35785376 Old 35341197</t>
  </si>
  <si>
    <t>LB</t>
  </si>
  <si>
    <t>454386709</t>
  </si>
  <si>
    <t>1000R816</t>
  </si>
  <si>
    <t>LH RR Door channel P/N 35778044.</t>
  </si>
  <si>
    <t>454382197</t>
  </si>
  <si>
    <t>1000R8JS</t>
  </si>
  <si>
    <t>1001193</t>
  </si>
  <si>
    <t>35732715 Seal ~ Stellantis</t>
  </si>
  <si>
    <t>454386557</t>
  </si>
  <si>
    <t>1000R8K8</t>
  </si>
  <si>
    <t>35798968 - 120mm2 cable seal tooling</t>
  </si>
  <si>
    <t>454383413</t>
  </si>
  <si>
    <t>1000R8MQ</t>
  </si>
  <si>
    <t>1080575</t>
  </si>
  <si>
    <t>Cover</t>
  </si>
  <si>
    <t>454379885</t>
  </si>
  <si>
    <t>Housing</t>
  </si>
  <si>
    <t>1000R11M</t>
  </si>
  <si>
    <t>454385575</t>
  </si>
  <si>
    <t>1000RA0E</t>
  </si>
  <si>
    <t>1025958</t>
  </si>
  <si>
    <t>Testing Material</t>
  </si>
  <si>
    <t>454387907</t>
  </si>
  <si>
    <t>1000R6T8</t>
  </si>
  <si>
    <t>1019160</t>
  </si>
  <si>
    <t>COS for EE90330-ASM01 DAT2.0 ECU Assembl</t>
  </si>
  <si>
    <t>454379561</t>
  </si>
  <si>
    <t>1000R8OD</t>
  </si>
  <si>
    <t>Expedite Fee 47311252 INTL OPS LUXEMBOUR</t>
  </si>
  <si>
    <t>454380304</t>
  </si>
  <si>
    <t>1000RAMX</t>
  </si>
  <si>
    <t>1082693</t>
  </si>
  <si>
    <t>MX35525-overplate MX34343(3N6) w/Sn</t>
  </si>
  <si>
    <t>454380322</t>
  </si>
  <si>
    <t>1000RBD0</t>
  </si>
  <si>
    <t>1069276</t>
  </si>
  <si>
    <t>GM Ultium cordset FCC testing at 120V</t>
  </si>
  <si>
    <t>454379971</t>
  </si>
  <si>
    <t>1000R8O8</t>
  </si>
  <si>
    <t>Expedite Fee INTL OPS LUXEMBOURG HONDURA</t>
  </si>
  <si>
    <t>454383576</t>
  </si>
  <si>
    <t>1000RAO0</t>
  </si>
  <si>
    <t>RITM2117145- Troy SVI testing for applic</t>
  </si>
  <si>
    <t>454380690</t>
  </si>
  <si>
    <t>1000R7XO</t>
  </si>
  <si>
    <t>BlueCat DNS DHCP Server Model 20</t>
  </si>
  <si>
    <t>454382069</t>
  </si>
  <si>
    <t>1000R9ZX</t>
  </si>
  <si>
    <t>15522426 Term ~ DCT2200 Ford</t>
  </si>
  <si>
    <t>454385266</t>
  </si>
  <si>
    <t>1000RBAB</t>
  </si>
  <si>
    <t>1080533</t>
  </si>
  <si>
    <t>35769129</t>
  </si>
  <si>
    <t>454383358</t>
  </si>
  <si>
    <t>1000R82L</t>
  </si>
  <si>
    <t>1070912</t>
  </si>
  <si>
    <t>PE564287 - PROTOTYPE PARTS</t>
  </si>
  <si>
    <t>454385577</t>
  </si>
  <si>
    <t>1000RBDS</t>
  </si>
  <si>
    <t>Fixture for lab sample plating</t>
  </si>
  <si>
    <t>454385262</t>
  </si>
  <si>
    <t>1000RANK</t>
  </si>
  <si>
    <t>GM Ultium cordset EMC immunity testing a</t>
  </si>
  <si>
    <t>454380318</t>
  </si>
  <si>
    <t>1000RBY9</t>
  </si>
  <si>
    <t>1089763</t>
  </si>
  <si>
    <t>CABL FLRY-A 0.500 RED   PVC THIN  SGL CO</t>
  </si>
  <si>
    <t>M6638112</t>
  </si>
  <si>
    <t>454383157</t>
  </si>
  <si>
    <t>1000RBFF</t>
  </si>
  <si>
    <t>Expedite Fee Aees Inc 13551451 //1060967</t>
  </si>
  <si>
    <t>454385264</t>
  </si>
  <si>
    <t>1000RAKO</t>
  </si>
  <si>
    <t>TOOLING COST TO CAPLUGS APN 35720061</t>
  </si>
  <si>
    <t>454387551</t>
  </si>
  <si>
    <t>PA2M</t>
  </si>
  <si>
    <t>HINGE</t>
  </si>
  <si>
    <t>XPK7D30008</t>
  </si>
  <si>
    <t>454394945</t>
  </si>
  <si>
    <t>1000RCTH</t>
  </si>
  <si>
    <t>1015290</t>
  </si>
  <si>
    <t>COMPRA DE COMPONENTE APTIV CHINA 1103</t>
  </si>
  <si>
    <t>454383578</t>
  </si>
  <si>
    <t>ASM SUBH AMEC</t>
  </si>
  <si>
    <t>PE536823</t>
  </si>
  <si>
    <t>1000R0HA</t>
  </si>
  <si>
    <t>1038030</t>
  </si>
  <si>
    <t>FW83</t>
  </si>
  <si>
    <t>33102442</t>
  </si>
  <si>
    <t>454385180</t>
  </si>
  <si>
    <t>1000R6MO</t>
  </si>
  <si>
    <t>35432552</t>
  </si>
  <si>
    <t>454387550</t>
  </si>
  <si>
    <t>1000R6MR</t>
  </si>
  <si>
    <t>454385182</t>
  </si>
  <si>
    <t>1000R8JE</t>
  </si>
  <si>
    <t>1040751</t>
  </si>
  <si>
    <t>A2XX SOAP DISH CHANNEL P/N 35767586.</t>
  </si>
  <si>
    <t>454385265</t>
  </si>
  <si>
    <t>1000RA56</t>
  </si>
  <si>
    <t>1061563</t>
  </si>
  <si>
    <t>13850332   ASM SUBH BATT BLK    L700.00</t>
  </si>
  <si>
    <t>454385164</t>
  </si>
  <si>
    <t>1000RDNN</t>
  </si>
  <si>
    <t>15416310     ASM CONN 10 F 0.64  BLK</t>
  </si>
  <si>
    <t>454385563</t>
  </si>
  <si>
    <t>1000RA5H</t>
  </si>
  <si>
    <t>13850331   ASM SUBH BATT BLK    L700.00</t>
  </si>
  <si>
    <t>454385176</t>
  </si>
  <si>
    <t>1000RDSG</t>
  </si>
  <si>
    <t>1001164</t>
  </si>
  <si>
    <t>EXP FEE MACARTHUR M5214101</t>
  </si>
  <si>
    <t>454386691</t>
  </si>
  <si>
    <t>1000RDSH</t>
  </si>
  <si>
    <t>EXP FEE MACARTHUR</t>
  </si>
  <si>
    <t>454386243</t>
  </si>
  <si>
    <t>1000RCQ8</t>
  </si>
  <si>
    <t>1068186</t>
  </si>
  <si>
    <t>Charge 19% VAT (Invoice 13743275)</t>
  </si>
  <si>
    <t>454386549</t>
  </si>
  <si>
    <t>1000RCRS</t>
  </si>
  <si>
    <t>35806934</t>
  </si>
  <si>
    <t>454387558</t>
  </si>
  <si>
    <t>1000RC08</t>
  </si>
  <si>
    <t>1043527</t>
  </si>
  <si>
    <t>Tyco Electronics Terminal 35058666</t>
  </si>
  <si>
    <t>454386547</t>
  </si>
  <si>
    <t>1000R82F</t>
  </si>
  <si>
    <t>454387555</t>
  </si>
  <si>
    <t>1000RA0D</t>
  </si>
  <si>
    <t>1029784</t>
  </si>
  <si>
    <t>ASM CMPL MOLDED</t>
  </si>
  <si>
    <t>454390057</t>
  </si>
  <si>
    <t>1000RCN1</t>
  </si>
  <si>
    <t>35715656 Term ~ Stellantis CA Mule Price</t>
  </si>
  <si>
    <t>454386245</t>
  </si>
  <si>
    <t>1000R9Y9</t>
  </si>
  <si>
    <t>35798987 O-ring</t>
  </si>
  <si>
    <t>454391376</t>
  </si>
  <si>
    <t>1000RA0B</t>
  </si>
  <si>
    <t>35684844 Bracket ~ Stellantis</t>
  </si>
  <si>
    <t>454391375</t>
  </si>
  <si>
    <t>1000RA12</t>
  </si>
  <si>
    <t>PE564266 - PROTOTYPE PARTS</t>
  </si>
  <si>
    <t>454387559</t>
  </si>
  <si>
    <t>1000RA51</t>
  </si>
  <si>
    <t>PE564280 - PROTOTYPE PARTS</t>
  </si>
  <si>
    <t>454387992</t>
  </si>
  <si>
    <t>1000RAMY</t>
  </si>
  <si>
    <t>35717820 Rev. 02 Samples</t>
  </si>
  <si>
    <t>454387549</t>
  </si>
  <si>
    <t>1000R1YG</t>
  </si>
  <si>
    <t>EE92180-ASM01. Radar Gen 7 Antenna Attac</t>
  </si>
  <si>
    <t>454389647</t>
  </si>
  <si>
    <t>1000REGG</t>
  </si>
  <si>
    <t>1052759</t>
  </si>
  <si>
    <t>Expedite Fee to cover air freight expens</t>
  </si>
  <si>
    <t>454386548</t>
  </si>
  <si>
    <t>1000R4GC</t>
  </si>
  <si>
    <t>NPR BOM &amp; Parts Kit</t>
  </si>
  <si>
    <t>454391101</t>
  </si>
  <si>
    <t>1000R9AD</t>
  </si>
  <si>
    <t>PXI Assembly &amp; Material</t>
  </si>
  <si>
    <t>1000RCUU</t>
  </si>
  <si>
    <t>454386041</t>
  </si>
  <si>
    <t>1000RDMI</t>
  </si>
  <si>
    <t>COS for EE92100-ASM01 Volvo Truck ECU Fi</t>
  </si>
  <si>
    <t>454389186</t>
  </si>
  <si>
    <t>1000RA3A</t>
  </si>
  <si>
    <t>1025505</t>
  </si>
  <si>
    <t>PE540297 M8 Bolt Rework</t>
  </si>
  <si>
    <t>454391373</t>
  </si>
  <si>
    <t>1000R9EF</t>
  </si>
  <si>
    <t>Invoice 4764 / 4770 September / 2024</t>
  </si>
  <si>
    <t>454387909</t>
  </si>
  <si>
    <t>1000RCS0</t>
  </si>
  <si>
    <t>454387554</t>
  </si>
  <si>
    <t>1000R3P3</t>
  </si>
  <si>
    <t>1086762</t>
  </si>
  <si>
    <t>UW150 Polymer Welding &amp; Compact Evolutio</t>
  </si>
  <si>
    <t>454387621</t>
  </si>
  <si>
    <t>1000RC02</t>
  </si>
  <si>
    <t>M8745TFX Cable 50mm2 ~ Stellantis</t>
  </si>
  <si>
    <t>454389084</t>
  </si>
  <si>
    <t>1000RAKY</t>
  </si>
  <si>
    <t>PE577617 Terminal Tool</t>
  </si>
  <si>
    <t>454389187</t>
  </si>
  <si>
    <t>1000RC0O</t>
  </si>
  <si>
    <t>454386702</t>
  </si>
  <si>
    <t>1000RBWJ</t>
  </si>
  <si>
    <t>1082707</t>
  </si>
  <si>
    <t>FW63</t>
  </si>
  <si>
    <t>MOUN CLIP GROM</t>
  </si>
  <si>
    <t>35326776</t>
  </si>
  <si>
    <t>454385185</t>
  </si>
  <si>
    <t>1000RBYF</t>
  </si>
  <si>
    <t>ASM SUBH COAX MULTI    L1070.00 B1</t>
  </si>
  <si>
    <t>35033423</t>
  </si>
  <si>
    <t>454387904</t>
  </si>
  <si>
    <t>1000REGO</t>
  </si>
  <si>
    <t>MCA AC FOT HVT 35506367 GAP REVISION</t>
  </si>
  <si>
    <t>454389097</t>
  </si>
  <si>
    <t>1000RF91</t>
  </si>
  <si>
    <t>EE87724E-ASM99. TRAY FEEDER, 420x340 - E</t>
  </si>
  <si>
    <t>454386840</t>
  </si>
  <si>
    <t>1000REKU</t>
  </si>
  <si>
    <t>EM88192T-ASM08. SRR6 Antenna Nest</t>
  </si>
  <si>
    <t>454387370</t>
  </si>
  <si>
    <t>1000QUYS</t>
  </si>
  <si>
    <t>EVEREST EXP FEE HONDURAS</t>
  </si>
  <si>
    <t>454387556</t>
  </si>
  <si>
    <t>1000RA54</t>
  </si>
  <si>
    <t>1089974</t>
  </si>
  <si>
    <t>35774147 TUBE HEATSHRINK SPLICE L=35.00</t>
  </si>
  <si>
    <t>454387916</t>
  </si>
  <si>
    <t>1000RCSU</t>
  </si>
  <si>
    <t>35559842-PM-A-0002 80% FOT</t>
  </si>
  <si>
    <t>454388166</t>
  </si>
  <si>
    <t>1000RELT</t>
  </si>
  <si>
    <t>MOUN WIRE TIE BASE BLK</t>
  </si>
  <si>
    <t>33182010</t>
  </si>
  <si>
    <t>454387917</t>
  </si>
  <si>
    <t>1000RF9D</t>
  </si>
  <si>
    <t>MOUN WIRE TIE STRAP BLK</t>
  </si>
  <si>
    <t>33182539</t>
  </si>
  <si>
    <t>454387560</t>
  </si>
  <si>
    <t>1000P3L0</t>
  </si>
  <si>
    <t>FV33</t>
  </si>
  <si>
    <t>EXPEDITE FEE - VW Traction 4WD - 3547636</t>
  </si>
  <si>
    <t>454390164</t>
  </si>
  <si>
    <t>1000REKA</t>
  </si>
  <si>
    <t>EE92230-ASM01. Ford UCM Final Assembly</t>
  </si>
  <si>
    <t>454396182</t>
  </si>
  <si>
    <t>1000RA6H</t>
  </si>
  <si>
    <t>1090482</t>
  </si>
  <si>
    <t>Leak test for UCM equipment</t>
  </si>
  <si>
    <t>454390472</t>
  </si>
  <si>
    <t>1000R9BC</t>
  </si>
  <si>
    <t>EE88190-ASM01 Radar Antenna Attach Machi</t>
  </si>
  <si>
    <t>1000R9BX</t>
  </si>
  <si>
    <t>EE87720-ASM01 (MATAMOROS) Radar Assembly</t>
  </si>
  <si>
    <t>1000R8P8</t>
  </si>
  <si>
    <t>Manual Stations 4pcs</t>
  </si>
  <si>
    <t>454389201</t>
  </si>
  <si>
    <t>1000R7EU</t>
  </si>
  <si>
    <t>47362375 SRS PIGTAIL SFPL90-2 L1455.00 B</t>
  </si>
  <si>
    <t>454389102</t>
  </si>
  <si>
    <t>1000R61K</t>
  </si>
  <si>
    <t>1072197</t>
  </si>
  <si>
    <t>L234 HOSES DLH SPOT BUY 1</t>
  </si>
  <si>
    <t>454388162</t>
  </si>
  <si>
    <t>TUBE HOSE WASHER  L=510.00 ID SUP=4.10 I</t>
  </si>
  <si>
    <t>PE542610</t>
  </si>
  <si>
    <t>1000R61L</t>
  </si>
  <si>
    <t>L234 HOSES DLH SPOT BUY 2</t>
  </si>
  <si>
    <t>454390092</t>
  </si>
  <si>
    <t>1000REK2</t>
  </si>
  <si>
    <t>PE436790 Tooling</t>
  </si>
  <si>
    <t>454389100</t>
  </si>
  <si>
    <t>1000RG29</t>
  </si>
  <si>
    <t>35778044</t>
  </si>
  <si>
    <t>454393156</t>
  </si>
  <si>
    <t>1000RC18</t>
  </si>
  <si>
    <t>Debug and improvement per TE request TN</t>
  </si>
  <si>
    <t>454391001</t>
  </si>
  <si>
    <t>1000RFF2</t>
  </si>
  <si>
    <t>ASM CONN 10 F 0.64 2.8</t>
  </si>
  <si>
    <t>13925189</t>
  </si>
  <si>
    <t>454389092</t>
  </si>
  <si>
    <t>1000RFXS</t>
  </si>
  <si>
    <t>EXP FEE PARA MATERIAL EXTRA DEL NP:35309</t>
  </si>
  <si>
    <t>454389086</t>
  </si>
  <si>
    <t>1000RFYG</t>
  </si>
  <si>
    <t>454388737</t>
  </si>
  <si>
    <t>1000RG21</t>
  </si>
  <si>
    <t>35778045</t>
  </si>
  <si>
    <t>454390366</t>
  </si>
  <si>
    <t>1000QZLX</t>
  </si>
  <si>
    <t>PROYECTO DE SISTEMA DE RASTREABILIDAD PA</t>
  </si>
  <si>
    <t>454390468</t>
  </si>
  <si>
    <t>1000RDQR</t>
  </si>
  <si>
    <t>454410361</t>
  </si>
  <si>
    <t>1000RC17</t>
  </si>
  <si>
    <t>1049687</t>
  </si>
  <si>
    <t>35710502 40A HV fuse</t>
  </si>
  <si>
    <t>454391109</t>
  </si>
  <si>
    <t>FR7M</t>
  </si>
  <si>
    <t>FILTER</t>
  </si>
  <si>
    <t>XPK1F10018</t>
  </si>
  <si>
    <t>454394946</t>
  </si>
  <si>
    <t>1000RA4V</t>
  </si>
  <si>
    <t>1025841</t>
  </si>
  <si>
    <t>ADEPT DESKTOP CONCURRENT USER LICENSE</t>
  </si>
  <si>
    <t>454388736</t>
  </si>
  <si>
    <t>WASHER</t>
  </si>
  <si>
    <t>XPK7D30948</t>
  </si>
  <si>
    <t>454401943</t>
  </si>
  <si>
    <t>1000RA4C</t>
  </si>
  <si>
    <t>454394596</t>
  </si>
  <si>
    <t>1000RE7O</t>
  </si>
  <si>
    <t>NTT Circuit Configuration - DC Diversity</t>
  </si>
  <si>
    <t>454388859</t>
  </si>
  <si>
    <t>1000RDMU</t>
  </si>
  <si>
    <t>Smart TV Samsung 55"</t>
  </si>
  <si>
    <t>454388860</t>
  </si>
  <si>
    <t>1000RCOB</t>
  </si>
  <si>
    <t>WS_FTP Server Secure (v. 8.0)</t>
  </si>
  <si>
    <t>454388982</t>
  </si>
  <si>
    <t>1000QXVC</t>
  </si>
  <si>
    <t>1006218</t>
  </si>
  <si>
    <t>EV600 E-boost channel P/N 35790333.</t>
  </si>
  <si>
    <t>454392445</t>
  </si>
  <si>
    <t>1000RGTP</t>
  </si>
  <si>
    <t>SSO and MFA development for CENSUS, GSI</t>
  </si>
  <si>
    <t>454391296</t>
  </si>
  <si>
    <t>1000REOF</t>
  </si>
  <si>
    <t>1025864</t>
  </si>
  <si>
    <t>Cabling Designer Basic Module Maintenanc</t>
  </si>
  <si>
    <t>454391298</t>
  </si>
  <si>
    <t>1000RB75</t>
  </si>
  <si>
    <t>1087232</t>
  </si>
  <si>
    <t>Reynosa HSM</t>
  </si>
  <si>
    <t>454392143</t>
  </si>
  <si>
    <t>1000RB7B</t>
  </si>
  <si>
    <t>Matamoros HSM</t>
  </si>
  <si>
    <t>454392152</t>
  </si>
  <si>
    <t>1000RBC9</t>
  </si>
  <si>
    <t>Lab KMS HSM licenses</t>
  </si>
  <si>
    <t>454392155</t>
  </si>
  <si>
    <t>1000RGPZ</t>
  </si>
  <si>
    <t>1010443</t>
  </si>
  <si>
    <t>M4736501</t>
  </si>
  <si>
    <t>REL</t>
  </si>
  <si>
    <t>454391374</t>
  </si>
  <si>
    <t>1000RG2M</t>
  </si>
  <si>
    <t>FW94</t>
  </si>
  <si>
    <t>ASM CONN 2 M 1.2 MLK GRA LT SLD</t>
  </si>
  <si>
    <t>33315513</t>
  </si>
  <si>
    <t>454390364</t>
  </si>
  <si>
    <t>1000REAR</t>
  </si>
  <si>
    <t>35644456 AMEC SUBH 4354 L~ Condumex</t>
  </si>
  <si>
    <t>454390168</t>
  </si>
  <si>
    <t>1000RBER</t>
  </si>
  <si>
    <t>1020089</t>
  </si>
  <si>
    <t>Metal spacer and clamp</t>
  </si>
  <si>
    <t>454391000</t>
  </si>
  <si>
    <t>1000RCUG</t>
  </si>
  <si>
    <t>1022946</t>
  </si>
  <si>
    <t>35812152 - GM</t>
  </si>
  <si>
    <t>454394471</t>
  </si>
  <si>
    <t>1000RG09</t>
  </si>
  <si>
    <t>M8745VFX ~ NEW line on PO 454292599 revi</t>
  </si>
  <si>
    <t>454391114</t>
  </si>
  <si>
    <t>1000RAM9</t>
  </si>
  <si>
    <t>1089018</t>
  </si>
  <si>
    <t>M6283101 USMCA version - Free Samples</t>
  </si>
  <si>
    <t>454390362</t>
  </si>
  <si>
    <t>1000RH2U</t>
  </si>
  <si>
    <t>1090667</t>
  </si>
  <si>
    <t>35688715 C100 Plating</t>
  </si>
  <si>
    <t>454391027</t>
  </si>
  <si>
    <t>1000RHIQ</t>
  </si>
  <si>
    <t>1087942</t>
  </si>
  <si>
    <t>MX35545 - C7025 TM03 0.15 x 12.0 mm</t>
  </si>
  <si>
    <t>454391012</t>
  </si>
  <si>
    <t>1000RELF</t>
  </si>
  <si>
    <t>1074097</t>
  </si>
  <si>
    <t>Engineering Samples Cable Seal APN: 3570</t>
  </si>
  <si>
    <t>454390058</t>
  </si>
  <si>
    <t>1000RELX</t>
  </si>
  <si>
    <t>Prototype SamplesU759 Ford Faceplate APN</t>
  </si>
  <si>
    <t>454390997</t>
  </si>
  <si>
    <t>1000RA3K</t>
  </si>
  <si>
    <t>DETAIL s02-1 TN 35554623 PM A 0001</t>
  </si>
  <si>
    <t>454391377</t>
  </si>
  <si>
    <t>1000RFF0</t>
  </si>
  <si>
    <t>Engineering Samples Seal Retainer APN: 3</t>
  </si>
  <si>
    <t>454390274</t>
  </si>
  <si>
    <t>1000RFFO</t>
  </si>
  <si>
    <t>1063022</t>
  </si>
  <si>
    <t>Set of inserts for 35710528</t>
  </si>
  <si>
    <t>454391380</t>
  </si>
  <si>
    <t>1000RBG3</t>
  </si>
  <si>
    <t>SET-UP AND TRYOUT COSTS TO RUN CHANGE-OV</t>
  </si>
  <si>
    <t>454390059</t>
  </si>
  <si>
    <t>1000RCZW</t>
  </si>
  <si>
    <t>1063395</t>
  </si>
  <si>
    <t>HV Stal line upgrade</t>
  </si>
  <si>
    <t>454397967</t>
  </si>
  <si>
    <t>1000QPO0</t>
  </si>
  <si>
    <t>1045066</t>
  </si>
  <si>
    <t>Model RSM -120 Raw Material Welding Mach</t>
  </si>
  <si>
    <t>1000QYRJ</t>
  </si>
  <si>
    <t>1012914</t>
  </si>
  <si>
    <t>NRE - PROJECT MANAGEMENT &amp; DESIGN</t>
  </si>
  <si>
    <t>454398487</t>
  </si>
  <si>
    <t>1000RDS8</t>
  </si>
  <si>
    <t>1086718</t>
  </si>
  <si>
    <t>Milestone #1</t>
  </si>
  <si>
    <t>454392154</t>
  </si>
  <si>
    <t>1000RHOZ</t>
  </si>
  <si>
    <t>1004125</t>
  </si>
  <si>
    <t>ASM SUBH COAX D2.80 L1690.00 B1</t>
  </si>
  <si>
    <t>454390759</t>
  </si>
  <si>
    <t>200030584</t>
  </si>
  <si>
    <t>1070581</t>
  </si>
  <si>
    <t>Reflash campaign of 483.76 hours.</t>
  </si>
  <si>
    <t>HR</t>
  </si>
  <si>
    <t>1000RDSW</t>
  </si>
  <si>
    <t>ASM TERM  F 2.8 MCON-LL SN</t>
  </si>
  <si>
    <t>33230455</t>
  </si>
  <si>
    <t>454390363</t>
  </si>
  <si>
    <t>1000RDSS</t>
  </si>
  <si>
    <t>ASM CONN 32 F 0.64 MQS NAT</t>
  </si>
  <si>
    <t>35464630</t>
  </si>
  <si>
    <t>454391098</t>
  </si>
  <si>
    <t>1000RG1H</t>
  </si>
  <si>
    <t>COS2 for EE91180-ASM01 Radar Router Clea</t>
  </si>
  <si>
    <t>454392034</t>
  </si>
  <si>
    <t>1000RBG0</t>
  </si>
  <si>
    <t>ASM CONN 5 F 1.2 MCON-LL BLK SLD</t>
  </si>
  <si>
    <t>35241427</t>
  </si>
  <si>
    <t>454389824</t>
  </si>
  <si>
    <t>1000R182</t>
  </si>
  <si>
    <t>SEAL CBL 1W   RED</t>
  </si>
  <si>
    <t>10769561</t>
  </si>
  <si>
    <t>454390365</t>
  </si>
  <si>
    <t>1000RGZL</t>
  </si>
  <si>
    <t>ASM TUBE HOSE WASHER  ID=4.00 OD=7.10 L=</t>
  </si>
  <si>
    <t>35823288</t>
  </si>
  <si>
    <t>454394108</t>
  </si>
  <si>
    <t>1000RHON</t>
  </si>
  <si>
    <t>1008364</t>
  </si>
  <si>
    <t>Expedite fee FEDERAL-MOGUL POWERTRAIN LL</t>
  </si>
  <si>
    <t>454391104</t>
  </si>
  <si>
    <t>1000RHOE</t>
  </si>
  <si>
    <t>1079153</t>
  </si>
  <si>
    <t>35652133  ASM CONN 62 F 0.64 GEN Y 1.2 G</t>
  </si>
  <si>
    <t>454391099</t>
  </si>
  <si>
    <t>1000RFZX</t>
  </si>
  <si>
    <t>OBSOLETO ANTENA 35496079 - WS TIJUANA</t>
  </si>
  <si>
    <t>454390999</t>
  </si>
  <si>
    <t>1000RHKZ</t>
  </si>
  <si>
    <t>MX35545 - C7025 0.15x12.0mm with 3N6 Sn,</t>
  </si>
  <si>
    <t>454394105</t>
  </si>
  <si>
    <t>1000RHPF</t>
  </si>
  <si>
    <t>CABL FLRY-A 0.750 TAN   PVC THIN SGL CON</t>
  </si>
  <si>
    <t>M3130213</t>
  </si>
  <si>
    <t>454392457</t>
  </si>
  <si>
    <t>1000RI8C</t>
  </si>
  <si>
    <t>1070797</t>
  </si>
  <si>
    <t>M8975VFA  70mm2 Cable ~ CES Display</t>
  </si>
  <si>
    <t>454392451</t>
  </si>
  <si>
    <t>1000RCU4</t>
  </si>
  <si>
    <t>1068427</t>
  </si>
  <si>
    <t>M8454001 - Polyev T4</t>
  </si>
  <si>
    <t>KG</t>
  </si>
  <si>
    <t>454394104</t>
  </si>
  <si>
    <t>1000RC0T</t>
  </si>
  <si>
    <t>35688713 DCT1400 Terminal</t>
  </si>
  <si>
    <t>454394109</t>
  </si>
  <si>
    <t>1000RC0V</t>
  </si>
  <si>
    <t>35688713 - BARE Copper Terminals</t>
  </si>
  <si>
    <t>454394670</t>
  </si>
  <si>
    <t>1000RHP3</t>
  </si>
  <si>
    <t>13802570  ASM CONN 8 F 0.64 2.8 6.3</t>
  </si>
  <si>
    <t>454392459</t>
  </si>
  <si>
    <t>1000R11L</t>
  </si>
  <si>
    <t>1028667</t>
  </si>
  <si>
    <t>Set-Up and Solder Stencil - including se</t>
  </si>
  <si>
    <t>454393474</t>
  </si>
  <si>
    <t>1000RELV</t>
  </si>
  <si>
    <t>Prototype Tool U759 Ford Faceplate APN:</t>
  </si>
  <si>
    <t>454392232</t>
  </si>
  <si>
    <t>1000RIBK</t>
  </si>
  <si>
    <t>35688733 Lock ~ DCT1400</t>
  </si>
  <si>
    <t>454392662</t>
  </si>
  <si>
    <t>1000RHOK</t>
  </si>
  <si>
    <t>1085587</t>
  </si>
  <si>
    <t>TERM  M OCS 2.8 SN SEALED</t>
  </si>
  <si>
    <t>13964776</t>
  </si>
  <si>
    <t>1000RHOU</t>
  </si>
  <si>
    <t>MOUN WIRE TIE CLIP HD BLK   CONN ATTCH</t>
  </si>
  <si>
    <t>33224525</t>
  </si>
  <si>
    <t>454392664</t>
  </si>
  <si>
    <t>1000RICG</t>
  </si>
  <si>
    <t>Proto Tooling for Machined Harley Voodoo</t>
  </si>
  <si>
    <t>1000RHQL</t>
  </si>
  <si>
    <t>1073982</t>
  </si>
  <si>
    <t>FW85</t>
  </si>
  <si>
    <t>Expedite fee 35798989</t>
  </si>
  <si>
    <t>454392460</t>
  </si>
  <si>
    <t>1000RF18</t>
  </si>
  <si>
    <t>1084226</t>
  </si>
  <si>
    <t>Integration of Learning Management Syste</t>
  </si>
  <si>
    <t>454391042</t>
  </si>
  <si>
    <t>SEAL SET</t>
  </si>
  <si>
    <t>XPK7D30823</t>
  </si>
  <si>
    <t>454401942</t>
  </si>
  <si>
    <t>1000RCU1</t>
  </si>
  <si>
    <t>TAPE M6141001</t>
  </si>
  <si>
    <t>454394672</t>
  </si>
  <si>
    <t>1000RE99</t>
  </si>
  <si>
    <t>Project Management Charges</t>
  </si>
  <si>
    <t>454394474</t>
  </si>
  <si>
    <t>1000QD81</t>
  </si>
  <si>
    <t>SISTEMA TRACKVEYOR DAIFUKU PARA CAPACIDA</t>
  </si>
  <si>
    <t>454394377</t>
  </si>
  <si>
    <t>1000RF9B</t>
  </si>
  <si>
    <t>1011267</t>
  </si>
  <si>
    <t>Debug and Trace support for NXP S32G399A</t>
  </si>
  <si>
    <t>454394532</t>
  </si>
  <si>
    <t>1000R846</t>
  </si>
  <si>
    <t>RSC DE 22 X 10 X 9", FLAUTA C DE 44 ECT</t>
  </si>
  <si>
    <t>454394379</t>
  </si>
  <si>
    <t>1000R8PK</t>
  </si>
  <si>
    <t>(SAP Support for API 2023 at GSL 00127 R</t>
  </si>
  <si>
    <t>454394184</t>
  </si>
  <si>
    <t>1000RFZ6</t>
  </si>
  <si>
    <t>10612 BOSTON - UPS Replacement Electrica</t>
  </si>
  <si>
    <t>454394096</t>
  </si>
  <si>
    <t>1000RJ7J</t>
  </si>
  <si>
    <t>1012754</t>
  </si>
  <si>
    <t>Dongle License</t>
  </si>
  <si>
    <t>454394277</t>
  </si>
  <si>
    <t>1000RFFR</t>
  </si>
  <si>
    <t>1025288</t>
  </si>
  <si>
    <t>Simcenter FLOEFD for Siemens NX Ap SW Xa</t>
  </si>
  <si>
    <t>454395025</t>
  </si>
  <si>
    <t>1000RDNW</t>
  </si>
  <si>
    <t>454394837</t>
  </si>
  <si>
    <t>1000RDOD</t>
  </si>
  <si>
    <t>454394824</t>
  </si>
  <si>
    <t>1000RIYF</t>
  </si>
  <si>
    <t>1043021</t>
  </si>
  <si>
    <t>35540181 Term ~ Stellantis</t>
  </si>
  <si>
    <t>454397875</t>
  </si>
  <si>
    <t>1000RIYP</t>
  </si>
  <si>
    <t>1066439</t>
  </si>
  <si>
    <t>33100691 Term ~ Flextronics</t>
  </si>
  <si>
    <t>454394825</t>
  </si>
  <si>
    <t>1000RJ9K</t>
  </si>
  <si>
    <t>454395263</t>
  </si>
  <si>
    <t>1000RBXF</t>
  </si>
  <si>
    <t>454394832</t>
  </si>
  <si>
    <t>1000RFYO</t>
  </si>
  <si>
    <t>1086310</t>
  </si>
  <si>
    <t>6% Sales tax and shipping charge of two</t>
  </si>
  <si>
    <t>454395271</t>
  </si>
  <si>
    <t>1000RCHL</t>
  </si>
  <si>
    <t>RITM2057312</t>
  </si>
  <si>
    <t>454395273</t>
  </si>
  <si>
    <t>1000RJ4S</t>
  </si>
  <si>
    <t>1079872</t>
  </si>
  <si>
    <t>Increase amount of PO 454046944 T-Mobile</t>
  </si>
  <si>
    <t>454046944</t>
  </si>
  <si>
    <t>1000R3Q6</t>
  </si>
  <si>
    <t>1083527</t>
  </si>
  <si>
    <t>Grommet harshield</t>
  </si>
  <si>
    <t>454398483</t>
  </si>
  <si>
    <t>1000R8OJ</t>
  </si>
  <si>
    <t>HCL - Network Eng-Proj Coord 3 MO Wirele</t>
  </si>
  <si>
    <t>454396709</t>
  </si>
  <si>
    <t>1000RJOO</t>
  </si>
  <si>
    <t>1089168</t>
  </si>
  <si>
    <t>50 hours of GerritForge support</t>
  </si>
  <si>
    <t>454398493</t>
  </si>
  <si>
    <t>1000RHJX</t>
  </si>
  <si>
    <t>CITRIX 450W AC 9100 9100T PWR SUP</t>
  </si>
  <si>
    <t>454382085</t>
  </si>
  <si>
    <t>1000RECF</t>
  </si>
  <si>
    <t>1025214</t>
  </si>
  <si>
    <t>Software for FA</t>
  </si>
  <si>
    <t>454399764</t>
  </si>
  <si>
    <t>1000R9AF</t>
  </si>
  <si>
    <t>1090273</t>
  </si>
  <si>
    <t>Data Center-Server Rack</t>
  </si>
  <si>
    <t>454399768</t>
  </si>
  <si>
    <t>1000RAO5</t>
  </si>
  <si>
    <t>1085630</t>
  </si>
  <si>
    <t>ADT-IT Depot Renovation</t>
  </si>
  <si>
    <t>454399784</t>
  </si>
  <si>
    <t>1000RFD4</t>
  </si>
  <si>
    <t>1011172</t>
  </si>
  <si>
    <t>SVCVM3-SG1R HONEYWELL EDGE SERVICES</t>
  </si>
  <si>
    <t>454394281</t>
  </si>
  <si>
    <t>1000RJ8L</t>
  </si>
  <si>
    <t>[EPSON TM-T20] Impresora POS Epson TM-T2</t>
  </si>
  <si>
    <t>454394282</t>
  </si>
  <si>
    <t>1000RBD6</t>
  </si>
  <si>
    <t>1004047</t>
  </si>
  <si>
    <t>CALWEB ULTRA AGREEMENT</t>
  </si>
  <si>
    <t>454394283</t>
  </si>
  <si>
    <t>1000RJ6B</t>
  </si>
  <si>
    <t>1022493</t>
  </si>
  <si>
    <t>Memory Cards WD/SD 32GB UHS U3 MicroSD C</t>
  </si>
  <si>
    <t>454394572</t>
  </si>
  <si>
    <t>1000RJMB</t>
  </si>
  <si>
    <t>MES MOM CDW Barcode License</t>
  </si>
  <si>
    <t>454394573</t>
  </si>
  <si>
    <t>1000RGR0</t>
  </si>
  <si>
    <t>TCS Support Q4-2023 Census India</t>
  </si>
  <si>
    <t>454399785</t>
  </si>
  <si>
    <t>1000RGJ6</t>
  </si>
  <si>
    <t>454399786</t>
  </si>
  <si>
    <t>1000RGI8</t>
  </si>
  <si>
    <t>1067711</t>
  </si>
  <si>
    <t>Push Order Warehouse</t>
  </si>
  <si>
    <t>454399773</t>
  </si>
  <si>
    <t>1000RGTO</t>
  </si>
  <si>
    <t>KMS Dashboard Application Development</t>
  </si>
  <si>
    <t>454400487</t>
  </si>
  <si>
    <t>1000R07E</t>
  </si>
  <si>
    <t>SD-WAN Implementation Services for 10599</t>
  </si>
  <si>
    <t>454400485</t>
  </si>
  <si>
    <t>1000R07M</t>
  </si>
  <si>
    <t>SD-WAN Implementation Services for 10686</t>
  </si>
  <si>
    <t>454394667</t>
  </si>
  <si>
    <t>1000R07O</t>
  </si>
  <si>
    <t>SD-WAN Implementation Services for 10703</t>
  </si>
  <si>
    <t>454394668</t>
  </si>
  <si>
    <t>1000R07F</t>
  </si>
  <si>
    <t>SD-WAN Implementation Services for 10600</t>
  </si>
  <si>
    <t>454394291</t>
  </si>
  <si>
    <t>1000QWFX</t>
  </si>
  <si>
    <t>SD-WAN Implementation Services for 377 L</t>
  </si>
  <si>
    <t>454394292</t>
  </si>
  <si>
    <t>1000RG0X</t>
  </si>
  <si>
    <t>1011044</t>
  </si>
  <si>
    <t>INCA Maintenance</t>
  </si>
  <si>
    <t>454394593</t>
  </si>
  <si>
    <t>1000RKN9</t>
  </si>
  <si>
    <t>Expedite Fee - M3075112S</t>
  </si>
  <si>
    <t>454394531</t>
  </si>
  <si>
    <t>1000RJ4O</t>
  </si>
  <si>
    <t>1088543</t>
  </si>
  <si>
    <t>Expedite Fee (33205585-33205586)</t>
  </si>
  <si>
    <t>454394821</t>
  </si>
  <si>
    <t>1000RJ7A</t>
  </si>
  <si>
    <t>35691985  ASM CONN 53 F 0.64 GEN Y 1.2 G</t>
  </si>
  <si>
    <t>454394823</t>
  </si>
  <si>
    <t>FEE</t>
  </si>
  <si>
    <t>XPKFEE002</t>
  </si>
  <si>
    <t>1000RJVT</t>
  </si>
  <si>
    <t>CABL FLRY-A 0.500 BLU DK   PVC THIN SGL</t>
  </si>
  <si>
    <t>M3130102</t>
  </si>
  <si>
    <t>454396098</t>
  </si>
  <si>
    <t>1000RL3G</t>
  </si>
  <si>
    <t>13912283 - ASM CONN 20 F 0.64 GEN Y 2.8</t>
  </si>
  <si>
    <t>454396972</t>
  </si>
  <si>
    <t>1000RHPN</t>
  </si>
  <si>
    <t>1020587</t>
  </si>
  <si>
    <t>GEMS to design and build the flat wire c</t>
  </si>
  <si>
    <t>454398403</t>
  </si>
  <si>
    <t>1000RL89</t>
  </si>
  <si>
    <t>15416310 -  ASM CONN 10 F 0.64  BLK</t>
  </si>
  <si>
    <t>454395270</t>
  </si>
  <si>
    <t>1000RDRA</t>
  </si>
  <si>
    <t>CBI - Daily mobility reports &amp; HD -Short</t>
  </si>
  <si>
    <t>454190144</t>
  </si>
  <si>
    <t>1000RBEX</t>
  </si>
  <si>
    <t>ASM TERM  F 1.2 MCON-CB AU</t>
  </si>
  <si>
    <t>13752407</t>
  </si>
  <si>
    <t>454396590</t>
  </si>
  <si>
    <t>1000RL6T</t>
  </si>
  <si>
    <t>EXP FEE WDP PN 35795997 STELLANTIS EJ IP</t>
  </si>
  <si>
    <t>454396097</t>
  </si>
  <si>
    <t>1000RIH0</t>
  </si>
  <si>
    <t>47318251  SRS TRM PIGTL SFPB90-5 L2585.0</t>
  </si>
  <si>
    <t>454396523</t>
  </si>
  <si>
    <t>1000RIZ5</t>
  </si>
  <si>
    <t>1071430</t>
  </si>
  <si>
    <t>M6249401 Multi Cond Cable ~ Flextronics</t>
  </si>
  <si>
    <t>454396591</t>
  </si>
  <si>
    <t>1000RJV3</t>
  </si>
  <si>
    <t>PE494084 AC Male Inner RTK031</t>
  </si>
  <si>
    <t>454396704</t>
  </si>
  <si>
    <t>1000RL6G</t>
  </si>
  <si>
    <t>EXP FEE LEONI M7863002 &amp; M7863003</t>
  </si>
  <si>
    <t>454395889</t>
  </si>
  <si>
    <t>1000R545</t>
  </si>
  <si>
    <t>1062984</t>
  </si>
  <si>
    <t>L234 FRONT DOOR GROM</t>
  </si>
  <si>
    <t>454401958</t>
  </si>
  <si>
    <t>1000R54J</t>
  </si>
  <si>
    <t>L234 REAR DOOR GROM 35826026</t>
  </si>
  <si>
    <t>454402153</t>
  </si>
  <si>
    <t>1000R54N</t>
  </si>
  <si>
    <t>L234 LIFTGATE GROM LH 35826027</t>
  </si>
  <si>
    <t>454402152</t>
  </si>
  <si>
    <t>1000R54R</t>
  </si>
  <si>
    <t>L234 LIFTGATE GROM RH 35826028</t>
  </si>
  <si>
    <t>454401960</t>
  </si>
  <si>
    <t>1000QLQW</t>
  </si>
  <si>
    <t>1047604</t>
  </si>
  <si>
    <t>BN4845342010 - BULK HD CONTAINER FORD SB</t>
  </si>
  <si>
    <t>454404532</t>
  </si>
  <si>
    <t>1000RLT1</t>
  </si>
  <si>
    <t>35830788 - Cov Conn Backshell with Mspec</t>
  </si>
  <si>
    <t>454396718</t>
  </si>
  <si>
    <t>1000RL46</t>
  </si>
  <si>
    <t>454398500</t>
  </si>
  <si>
    <t>1000QU43</t>
  </si>
  <si>
    <t>CARRO TRACKVEYOR DE 26 FT CON ESCALON RE</t>
  </si>
  <si>
    <t>454397069</t>
  </si>
  <si>
    <t>1000RARC</t>
  </si>
  <si>
    <t>1088546</t>
  </si>
  <si>
    <t>T4V4 1.2 Housing Assembly Auto Flex Mach</t>
  </si>
  <si>
    <t>454399775</t>
  </si>
  <si>
    <t>1000RIIK</t>
  </si>
  <si>
    <t>Flight Freight Shipping Cost</t>
  </si>
  <si>
    <t>454398803</t>
  </si>
  <si>
    <t>1000RLSD</t>
  </si>
  <si>
    <t>35764710 - TERM NA SHIELD EMI SN</t>
  </si>
  <si>
    <t>454396703</t>
  </si>
  <si>
    <t>35764707 - TERM NA SHIELD EMI SN</t>
  </si>
  <si>
    <t>1000RLYJ</t>
  </si>
  <si>
    <t>1019503</t>
  </si>
  <si>
    <t>GROM LIFTGATE</t>
  </si>
  <si>
    <t>35719981</t>
  </si>
  <si>
    <t>454396702</t>
  </si>
  <si>
    <t>1000RLS8</t>
  </si>
  <si>
    <t>ASM SUBH COAX    D4.90 L7125.00 B2</t>
  </si>
  <si>
    <t>35822739</t>
  </si>
  <si>
    <t>454401502</t>
  </si>
  <si>
    <t>1000R4CJ</t>
  </si>
  <si>
    <t>Expedite Fee 35798582 y 35801529</t>
  </si>
  <si>
    <t>454396708</t>
  </si>
  <si>
    <t>1000R55L</t>
  </si>
  <si>
    <t>EXPEDITE FEE 35398147  APTIV SERVICES 3</t>
  </si>
  <si>
    <t>454399592</t>
  </si>
  <si>
    <t>1000RL9L</t>
  </si>
  <si>
    <t>35610430</t>
  </si>
  <si>
    <t>454396701</t>
  </si>
  <si>
    <t>1000RLWG</t>
  </si>
  <si>
    <t>35691984- ASM CONN 50 F 0.64 GEN Y 1.2 G</t>
  </si>
  <si>
    <t>454399685</t>
  </si>
  <si>
    <t>1000RN1H</t>
  </si>
  <si>
    <t>Mix change</t>
  </si>
  <si>
    <t>454397874</t>
  </si>
  <si>
    <t>1000RBW5</t>
  </si>
  <si>
    <t>1008291</t>
  </si>
  <si>
    <t>35473725 Capacity Tool</t>
  </si>
  <si>
    <t>454399680</t>
  </si>
  <si>
    <t>1000RN1Z</t>
  </si>
  <si>
    <t>Expedite  fee</t>
  </si>
  <si>
    <t>454397790</t>
  </si>
  <si>
    <t>1000RN23</t>
  </si>
  <si>
    <t>454397608</t>
  </si>
  <si>
    <t>1000RMM0</t>
  </si>
  <si>
    <t>SLEV TEXTILE SELF WRAP   ID=7.00  OD=9.0</t>
  </si>
  <si>
    <t>M4984002</t>
  </si>
  <si>
    <t>454398325</t>
  </si>
  <si>
    <t>1000RKN4</t>
  </si>
  <si>
    <t>1038951</t>
  </si>
  <si>
    <t>GM WCM Var B Antenna PCBs PV2</t>
  </si>
  <si>
    <t>454399689</t>
  </si>
  <si>
    <t>1000RNTG</t>
  </si>
  <si>
    <t>GM WCM Var B Control PCBs PV2</t>
  </si>
  <si>
    <t>454399334</t>
  </si>
  <si>
    <t>1000RAQC</t>
  </si>
  <si>
    <t>1087059</t>
  </si>
  <si>
    <t>Onit Legal Hold Implementation - HRIS In</t>
  </si>
  <si>
    <t>454401647</t>
  </si>
  <si>
    <t>1000RL99</t>
  </si>
  <si>
    <t>454401483</t>
  </si>
  <si>
    <t>1000RKNJ</t>
  </si>
  <si>
    <t>Cisco Network and Digital Network Archit</t>
  </si>
  <si>
    <t>454398412</t>
  </si>
  <si>
    <t>1000RJ73</t>
  </si>
  <si>
    <t>35197711 Ferrule ~ Stellantis</t>
  </si>
  <si>
    <t>454398507</t>
  </si>
  <si>
    <t>1000RKKU</t>
  </si>
  <si>
    <t>1030566</t>
  </si>
  <si>
    <t>35798982 M8 Bolt</t>
  </si>
  <si>
    <t>454401470</t>
  </si>
  <si>
    <t>1000RMJY</t>
  </si>
  <si>
    <t>1090144</t>
  </si>
  <si>
    <t>Lenovo ThinkSystem 42U Onyx Heavy Duty R</t>
  </si>
  <si>
    <t>454398658</t>
  </si>
  <si>
    <t>1000RLV0</t>
  </si>
  <si>
    <t>PE587021 conn seal samples</t>
  </si>
  <si>
    <t>454401471</t>
  </si>
  <si>
    <t>1000ROIF</t>
  </si>
  <si>
    <t>1000ROFP</t>
  </si>
  <si>
    <t>35610430 Seal ~ DCt 1400</t>
  </si>
  <si>
    <t>454401474</t>
  </si>
  <si>
    <t>1000ROVU</t>
  </si>
  <si>
    <t>Progress Service Agreements - technical</t>
  </si>
  <si>
    <t>454399591</t>
  </si>
  <si>
    <t>1000ROJH</t>
  </si>
  <si>
    <t>Muestra 1 - M3345 0.35 (M3345081)</t>
  </si>
  <si>
    <t>454401473</t>
  </si>
  <si>
    <t>1000ROHI</t>
  </si>
  <si>
    <t>ASM SUBH COAX    D3.60 L1335.00 B2</t>
  </si>
  <si>
    <t>35828843</t>
  </si>
  <si>
    <t>454401491</t>
  </si>
  <si>
    <t>1000ROHO</t>
  </si>
  <si>
    <t>454401480</t>
  </si>
  <si>
    <t>1000RP87</t>
  </si>
  <si>
    <t>454401472</t>
  </si>
  <si>
    <t>1000RBY0</t>
  </si>
  <si>
    <t>EXPEDITE FEE 35428542 APTIV SERVICES 3 (</t>
  </si>
  <si>
    <t>454401375</t>
  </si>
  <si>
    <t>1000RIAR</t>
  </si>
  <si>
    <t>Compression Limiter Tooling</t>
  </si>
  <si>
    <t>454401482</t>
  </si>
  <si>
    <t>1000RBBO</t>
  </si>
  <si>
    <t>COFICAB Cable 311</t>
  </si>
  <si>
    <t>454401945</t>
  </si>
  <si>
    <t>1000RNQL</t>
  </si>
  <si>
    <t>EXP FEE TIJUANA PN 35817049 &amp; 35818823</t>
  </si>
  <si>
    <t>454401485</t>
  </si>
  <si>
    <t>1000RNQP</t>
  </si>
  <si>
    <t>EXP FEE TIJUANA PN 35818824 &amp; 35818826</t>
  </si>
  <si>
    <t>454401493</t>
  </si>
  <si>
    <t>1000RNQY</t>
  </si>
  <si>
    <t>EXP FEE TIJUANA PN 35818827 &amp; 35818828</t>
  </si>
  <si>
    <t>454401484</t>
  </si>
  <si>
    <t>1000RPBN</t>
  </si>
  <si>
    <t>Expedite Fee 33227104 T.E RU</t>
  </si>
  <si>
    <t>454401492</t>
  </si>
  <si>
    <t>1000RPBY</t>
  </si>
  <si>
    <t>EXP FEE 33160548 T.E 8DQ327A</t>
  </si>
  <si>
    <t>454402162</t>
  </si>
  <si>
    <t>1000RPB8</t>
  </si>
  <si>
    <t>ASM CONN 5 F 1.2 MCON-LL NAT SLD</t>
  </si>
  <si>
    <t>35110578</t>
  </si>
  <si>
    <t>454402157</t>
  </si>
  <si>
    <t>1000RPBG</t>
  </si>
  <si>
    <t>ASM CONN 18 F 0.5 NANOMQS BLK</t>
  </si>
  <si>
    <t>35560570</t>
  </si>
  <si>
    <t>454402165</t>
  </si>
  <si>
    <t>1000RMJ2</t>
  </si>
  <si>
    <t>Multisensor Measurement System</t>
  </si>
  <si>
    <t>454408853</t>
  </si>
  <si>
    <t>1000ROJW</t>
  </si>
  <si>
    <t>1010923</t>
  </si>
  <si>
    <t>MOUN ATTCH CLIP CONN GRA LT   NAIL</t>
  </si>
  <si>
    <t>15411124</t>
  </si>
  <si>
    <t>454401475</t>
  </si>
  <si>
    <t>1000ROJF</t>
  </si>
  <si>
    <t>COS for EE91690-ASM01 Radar TIM Dispense</t>
  </si>
  <si>
    <t>454402548</t>
  </si>
  <si>
    <t>1000RJ4I</t>
  </si>
  <si>
    <t>1042257</t>
  </si>
  <si>
    <t>J55 PRIME PRINTER PACKAGE FOR AMER &amp; CN</t>
  </si>
  <si>
    <t>454402555</t>
  </si>
  <si>
    <t>1000ROHA</t>
  </si>
  <si>
    <t>OVERTIME PARA PRODUCIR PIEZAS DE INCREME</t>
  </si>
  <si>
    <t>1000RNUO</t>
  </si>
  <si>
    <t>454404066</t>
  </si>
  <si>
    <t>1000RPBH</t>
  </si>
  <si>
    <t>TERM  F 0.64  SN</t>
  </si>
  <si>
    <t>35710490</t>
  </si>
  <si>
    <t>454401372</t>
  </si>
  <si>
    <t>1000RQOL</t>
  </si>
  <si>
    <t>ASM CHAN BODY BLK</t>
  </si>
  <si>
    <t>35774153</t>
  </si>
  <si>
    <t>454401737</t>
  </si>
  <si>
    <t>1000RLWF</t>
  </si>
  <si>
    <t>CARBONITE MIGRATE MULTI PK LIC</t>
  </si>
  <si>
    <t>454401367</t>
  </si>
  <si>
    <t>1000RN15</t>
  </si>
  <si>
    <t>LG 32 inch monitor</t>
  </si>
  <si>
    <t>454401368</t>
  </si>
  <si>
    <t>1000RN24</t>
  </si>
  <si>
    <t>1088940</t>
  </si>
  <si>
    <t>Tester end of line station</t>
  </si>
  <si>
    <t>454406539</t>
  </si>
  <si>
    <t>1000QU5N</t>
  </si>
  <si>
    <t>GM V12 Hyperion HT28N Base Machine</t>
  </si>
  <si>
    <t>454407437</t>
  </si>
  <si>
    <t>1000RPXI</t>
  </si>
  <si>
    <t>Inner Ferrule - Parts</t>
  </si>
  <si>
    <t>454402149</t>
  </si>
  <si>
    <t>1000RPZR</t>
  </si>
  <si>
    <t>1087439</t>
  </si>
  <si>
    <t>EXPEDITE FEE 33280725 ROYAL DIE &amp; STAMPI</t>
  </si>
  <si>
    <t>454401944</t>
  </si>
  <si>
    <t>1000RM0S</t>
  </si>
  <si>
    <t>6 x 9200 Access Switch Configuration</t>
  </si>
  <si>
    <t>454401279</t>
  </si>
  <si>
    <t>1000RBBJ</t>
  </si>
  <si>
    <t>454402158</t>
  </si>
  <si>
    <t>1000RLNX</t>
  </si>
  <si>
    <t>Disks for current VxRail nodes in Troy -</t>
  </si>
  <si>
    <t>454404067</t>
  </si>
  <si>
    <t>1000RMYC</t>
  </si>
  <si>
    <t>1056958</t>
  </si>
  <si>
    <t>OpenText GXS Renewal - December 2023</t>
  </si>
  <si>
    <t>YR</t>
  </si>
  <si>
    <t>454418903</t>
  </si>
  <si>
    <t>1000RMJ7</t>
  </si>
  <si>
    <t>DELL Precision Laptops</t>
  </si>
  <si>
    <t>454404068</t>
  </si>
  <si>
    <t>1000RQLN</t>
  </si>
  <si>
    <t>35063063 Term ~ Borg Warner (Stellantis)</t>
  </si>
  <si>
    <t>454402534</t>
  </si>
  <si>
    <t>1000RRJ9</t>
  </si>
  <si>
    <t>454402533</t>
  </si>
  <si>
    <t>1000QU99</t>
  </si>
  <si>
    <t>1086076</t>
  </si>
  <si>
    <t>Annual Membership Fee to CSR Europe</t>
  </si>
  <si>
    <t>454407528</t>
  </si>
  <si>
    <t>1000RI8K</t>
  </si>
  <si>
    <t>RITM214904</t>
  </si>
  <si>
    <t>454401932</t>
  </si>
  <si>
    <t>1000RQSJ</t>
  </si>
  <si>
    <t>ASM CONN 16 M 1.2 MLK BLK SLD</t>
  </si>
  <si>
    <t>35795997</t>
  </si>
  <si>
    <t>454402163</t>
  </si>
  <si>
    <t>1000RQVB</t>
  </si>
  <si>
    <t>FV58</t>
  </si>
  <si>
    <t>35736284</t>
  </si>
  <si>
    <t>454402540</t>
  </si>
  <si>
    <t>1000RPUX</t>
  </si>
  <si>
    <t>35559849-PM-A-0002 Design/Build</t>
  </si>
  <si>
    <t>454403978</t>
  </si>
  <si>
    <t>1000RQOJ</t>
  </si>
  <si>
    <t>EXPEDITE FEE | 13798647 | PMS MERCEDES |</t>
  </si>
  <si>
    <t>454403008</t>
  </si>
  <si>
    <t>1000RQPT</t>
  </si>
  <si>
    <t>PE564684_02 tool revision</t>
  </si>
  <si>
    <t>454402556</t>
  </si>
  <si>
    <t>1000RQPV</t>
  </si>
  <si>
    <t>1067530</t>
  </si>
  <si>
    <t>35399287 Conn ~ Stellantis Mule builds</t>
  </si>
  <si>
    <t>454403974</t>
  </si>
  <si>
    <t>1000RQQI</t>
  </si>
  <si>
    <t>1015389</t>
  </si>
  <si>
    <t>35449916 Conn ~ Slellantis mule</t>
  </si>
  <si>
    <t>454403012</t>
  </si>
  <si>
    <t>1000RRLJ</t>
  </si>
  <si>
    <t>1065000</t>
  </si>
  <si>
    <t>SRS TRM PIGTL SFPL180-1 L5495.00 B2</t>
  </si>
  <si>
    <t>47365065</t>
  </si>
  <si>
    <t>1000RGUR</t>
  </si>
  <si>
    <t>Payment of invoices 4781 &amp; 4805 for met</t>
  </si>
  <si>
    <t>454402537</t>
  </si>
  <si>
    <t>454402693</t>
  </si>
  <si>
    <t>1000RP7E</t>
  </si>
  <si>
    <t>8HBU010</t>
  </si>
  <si>
    <t>454403979</t>
  </si>
  <si>
    <t>1000RPC3</t>
  </si>
  <si>
    <t>AK Class 4 ASM connector</t>
  </si>
  <si>
    <t>454403011</t>
  </si>
  <si>
    <t>1000RQTO</t>
  </si>
  <si>
    <t>Serial number 3279-A1 - Cam for Compact</t>
  </si>
  <si>
    <t>454403264</t>
  </si>
  <si>
    <t>1000RQR2</t>
  </si>
  <si>
    <t>Tool Prototype Connector PN 35776621  De</t>
  </si>
  <si>
    <t>454403422</t>
  </si>
  <si>
    <t>1000RSF8</t>
  </si>
  <si>
    <t>SRS TRM PIGTL SFPL180-1 L5340.00 B2</t>
  </si>
  <si>
    <t>47323882</t>
  </si>
  <si>
    <t>454404553</t>
  </si>
  <si>
    <t>1000RSHI</t>
  </si>
  <si>
    <t>SLEV OVERLAP    ID=8.00  OD=9.20 L=80.00</t>
  </si>
  <si>
    <t>M5596B08</t>
  </si>
  <si>
    <t>454404830</t>
  </si>
  <si>
    <t>1000RRH7</t>
  </si>
  <si>
    <t>1060967</t>
  </si>
  <si>
    <t>15451305 - CONN 6 F 6.3</t>
  </si>
  <si>
    <t>454403982</t>
  </si>
  <si>
    <t>1000RPYE</t>
  </si>
  <si>
    <t>13588765 -  RELAY</t>
  </si>
  <si>
    <t>454404831</t>
  </si>
  <si>
    <t>1000RPYF</t>
  </si>
  <si>
    <t>35692065 - ASM CONN 52 F 0.64 GEN Y 1.2</t>
  </si>
  <si>
    <t>454404540</t>
  </si>
  <si>
    <t>1000RSFX</t>
  </si>
  <si>
    <t>Dell 34 Monitor</t>
  </si>
  <si>
    <t>454403430</t>
  </si>
  <si>
    <t>1000RPYK</t>
  </si>
  <si>
    <t>1086517</t>
  </si>
  <si>
    <t>2-1-01 SERVICIOS DE CONSULTORES EN INSTA</t>
  </si>
  <si>
    <t>454403432</t>
  </si>
  <si>
    <t>1000RML7</t>
  </si>
  <si>
    <t>454403851</t>
  </si>
  <si>
    <t>1000RSC1</t>
  </si>
  <si>
    <t>CMMS SOFTWARE RENEWAL FOR FACILITIES PM</t>
  </si>
  <si>
    <t>454403853</t>
  </si>
  <si>
    <t>1000RML8</t>
  </si>
  <si>
    <t>ASM SUBH DATA    D4.50 L1525.00 B1</t>
  </si>
  <si>
    <t>13897824</t>
  </si>
  <si>
    <t>454404825</t>
  </si>
  <si>
    <t>1000RSHZ</t>
  </si>
  <si>
    <t>1052677</t>
  </si>
  <si>
    <t>ASM TERM  F 0.6  AG</t>
  </si>
  <si>
    <t>15540825</t>
  </si>
  <si>
    <t>454403981</t>
  </si>
  <si>
    <t>1000RRSG</t>
  </si>
  <si>
    <t>1005778</t>
  </si>
  <si>
    <t>1000RRNA</t>
  </si>
  <si>
    <t>35502056</t>
  </si>
  <si>
    <t>454404543</t>
  </si>
  <si>
    <t>1000RRND</t>
  </si>
  <si>
    <t>Additional debug TN 35758034 new spare i</t>
  </si>
  <si>
    <t>454404822</t>
  </si>
  <si>
    <t>1000RRSH</t>
  </si>
  <si>
    <t>CHAN PROFILE BLK</t>
  </si>
  <si>
    <t>15355531</t>
  </si>
  <si>
    <t>454404538</t>
  </si>
  <si>
    <t>1000RRSI</t>
  </si>
  <si>
    <t>15547812</t>
  </si>
  <si>
    <t>454404550</t>
  </si>
  <si>
    <t>1000RRSK</t>
  </si>
  <si>
    <t>CHAN PROFILE</t>
  </si>
  <si>
    <t>13586322</t>
  </si>
  <si>
    <t>454404534</t>
  </si>
  <si>
    <t>1000RSFA</t>
  </si>
  <si>
    <t>35798987 O-ring (parts)</t>
  </si>
  <si>
    <t>454403977</t>
  </si>
  <si>
    <t>1000RRLP</t>
  </si>
  <si>
    <t>SRS TRM PIGTL SFOL90-1 L2420.00 B2</t>
  </si>
  <si>
    <t>47367072</t>
  </si>
  <si>
    <t>454404257</t>
  </si>
  <si>
    <t>1000RRML</t>
  </si>
  <si>
    <t>1004048</t>
  </si>
  <si>
    <t>35798984 Bolt Retainer (Pre-production p</t>
  </si>
  <si>
    <t>454403414</t>
  </si>
  <si>
    <t>1000RSAZ</t>
  </si>
  <si>
    <t>SRS PIGTAIL SFPL90-2 L3205.00 B2</t>
  </si>
  <si>
    <t>47370017</t>
  </si>
  <si>
    <t>454403976</t>
  </si>
  <si>
    <t>1000RSJZ</t>
  </si>
  <si>
    <t>CABL FLR2X-A 0.500 GRN LT  GRA STR NONE</t>
  </si>
  <si>
    <t>M6171B83</t>
  </si>
  <si>
    <t>454403983</t>
  </si>
  <si>
    <t>1000RLWM</t>
  </si>
  <si>
    <t>TOOLING COST APN 35541008</t>
  </si>
  <si>
    <t>454403427</t>
  </si>
  <si>
    <t>1000RTBA</t>
  </si>
  <si>
    <t>454404541</t>
  </si>
  <si>
    <t>1000RTBK</t>
  </si>
  <si>
    <t>1011349</t>
  </si>
  <si>
    <t>TERM  M 187  SN</t>
  </si>
  <si>
    <t>454404254</t>
  </si>
  <si>
    <t>1000RSKN</t>
  </si>
  <si>
    <t>Exp Fee 10762406 8DQ158A TE</t>
  </si>
  <si>
    <t>454404522</t>
  </si>
  <si>
    <t>1000RP4Z</t>
  </si>
  <si>
    <t>454404536</t>
  </si>
  <si>
    <t>1000RRSE</t>
  </si>
  <si>
    <t>1000RPY7</t>
  </si>
  <si>
    <t>1086269</t>
  </si>
  <si>
    <t>ACCESS POINT AIR-AP3802E-B-K9</t>
  </si>
  <si>
    <t>454404167</t>
  </si>
  <si>
    <t>1000RPV7</t>
  </si>
  <si>
    <t>1080150</t>
  </si>
  <si>
    <t>Market research material for semiconduct</t>
  </si>
  <si>
    <t>454414066</t>
  </si>
  <si>
    <t>1000RN3P</t>
  </si>
  <si>
    <t>1033788</t>
  </si>
  <si>
    <t>M5355109 - COND CNVLT SLIT 10MM ID=10.00</t>
  </si>
  <si>
    <t>454404551</t>
  </si>
  <si>
    <t>1000RTFY</t>
  </si>
  <si>
    <t>35094666 - ASM MOUN WIRE TIE CLIP HD BLK</t>
  </si>
  <si>
    <t>454404821</t>
  </si>
  <si>
    <t>1000RSML</t>
  </si>
  <si>
    <t>1008302</t>
  </si>
  <si>
    <t>ASM CONN 1 F FAKRA  PPL</t>
  </si>
  <si>
    <t>13893690</t>
  </si>
  <si>
    <t>454404531</t>
  </si>
  <si>
    <t>1000RQPC</t>
  </si>
  <si>
    <t>M5084119 - COND CNVLT SLIT 17MM ID=16.85</t>
  </si>
  <si>
    <t>454404818</t>
  </si>
  <si>
    <t>1000RPOC</t>
  </si>
  <si>
    <t>VMware / CloudHealth overage invoice /</t>
  </si>
  <si>
    <t>454404533</t>
  </si>
  <si>
    <t>1000RKNK</t>
  </si>
  <si>
    <t>OPTIPLEX 7010 CORE</t>
  </si>
  <si>
    <t>454404075</t>
  </si>
  <si>
    <t>1000RL8L</t>
  </si>
  <si>
    <t>Logitech Lift Mouse</t>
  </si>
  <si>
    <t>454404079</t>
  </si>
  <si>
    <t>SEAL</t>
  </si>
  <si>
    <t>XPK7D30267</t>
  </si>
  <si>
    <t>454404598</t>
  </si>
  <si>
    <t>STRAP</t>
  </si>
  <si>
    <t>XPK7D30983</t>
  </si>
  <si>
    <t>1000RPYU</t>
  </si>
  <si>
    <t>Milestone #1 it is an adjustment on the</t>
  </si>
  <si>
    <t>454405628</t>
  </si>
  <si>
    <t>1000RSGY</t>
  </si>
  <si>
    <t>Expedite Fee - M3322062S - M3322A80S</t>
  </si>
  <si>
    <t>454406986</t>
  </si>
  <si>
    <t>1000RMLI</t>
  </si>
  <si>
    <t>454405554</t>
  </si>
  <si>
    <t>1000REHI</t>
  </si>
  <si>
    <t>1048124</t>
  </si>
  <si>
    <t>Allen-Bradley Studio 5000 Standard Editi</t>
  </si>
  <si>
    <t>454405251</t>
  </si>
  <si>
    <t>1000RT6L</t>
  </si>
  <si>
    <t>1015853</t>
  </si>
  <si>
    <t>15383477 - TERM  F 6.3  SN</t>
  </si>
  <si>
    <t>454405727</t>
  </si>
  <si>
    <t>1000RTFO</t>
  </si>
  <si>
    <t>13588765 - RELAY</t>
  </si>
  <si>
    <t>454404838</t>
  </si>
  <si>
    <t>1000ROLK</t>
  </si>
  <si>
    <t>35032350-Freight Charges</t>
  </si>
  <si>
    <t>454405240</t>
  </si>
  <si>
    <t>1000RSKA</t>
  </si>
  <si>
    <t>ASM TERM  M 1.2 MCON-LL AU SEALED</t>
  </si>
  <si>
    <t>13642528</t>
  </si>
  <si>
    <t>454406550</t>
  </si>
  <si>
    <t>1000RTH2</t>
  </si>
  <si>
    <t>Produccion de material para coberturas p</t>
  </si>
  <si>
    <t>454406983</t>
  </si>
  <si>
    <t>1000RSKI</t>
  </si>
  <si>
    <t>454406547</t>
  </si>
  <si>
    <t>1000RSG9</t>
  </si>
  <si>
    <t>2385722-4 Code D Stack 35 ~ Stellantis</t>
  </si>
  <si>
    <t>454406971</t>
  </si>
  <si>
    <t>1000RSHB</t>
  </si>
  <si>
    <t>35647380 Dust Cap ~ Stellantis</t>
  </si>
  <si>
    <t>454406985</t>
  </si>
  <si>
    <t>1000RSII</t>
  </si>
  <si>
    <t>Design work for mold 35770770 rev 04</t>
  </si>
  <si>
    <t>454406549</t>
  </si>
  <si>
    <t>1000RSIP</t>
  </si>
  <si>
    <t>Design work for update rev 06 TN 3577076</t>
  </si>
  <si>
    <t>454406972</t>
  </si>
  <si>
    <t>1000RUBX</t>
  </si>
  <si>
    <t>454406976</t>
  </si>
  <si>
    <t>1000RTH7</t>
  </si>
  <si>
    <t>MX35556-overplate MX34343(3N6) w/Sn</t>
  </si>
  <si>
    <t>454406970</t>
  </si>
  <si>
    <t>1000RUCO</t>
  </si>
  <si>
    <t>SRS TRM PIGTL SFOL90-1 L1710.00 B2</t>
  </si>
  <si>
    <t>47367069</t>
  </si>
  <si>
    <t>454406452</t>
  </si>
  <si>
    <t>1000RLS2</t>
  </si>
  <si>
    <t>ASM SUBH COAX    D2.80 L6850.00 B1</t>
  </si>
  <si>
    <t>35822746</t>
  </si>
  <si>
    <t>454407801</t>
  </si>
  <si>
    <t>1000RTBR</t>
  </si>
  <si>
    <t>ASM SUBH ETHERNET    D3.20 L1635.00 B1</t>
  </si>
  <si>
    <t>454408147</t>
  </si>
  <si>
    <t>1000RTBU</t>
  </si>
  <si>
    <t>1065596</t>
  </si>
  <si>
    <t>CONECTOR / ANTENAS</t>
  </si>
  <si>
    <t>454408155</t>
  </si>
  <si>
    <t>1000RU8Y</t>
  </si>
  <si>
    <t>ASM COV CONN  BLK</t>
  </si>
  <si>
    <t>13843356</t>
  </si>
  <si>
    <t>454406453</t>
  </si>
  <si>
    <t>1000RFBJ</t>
  </si>
  <si>
    <t>1035272</t>
  </si>
  <si>
    <t>Planview - 8 hours of SW Development</t>
  </si>
  <si>
    <t>454421102</t>
  </si>
  <si>
    <t>1000RV1M</t>
  </si>
  <si>
    <t>ASM CONN 62 F 0.64 GEN Y 1.2 GET SLD  BA</t>
  </si>
  <si>
    <t>454407739</t>
  </si>
  <si>
    <t>1000RVOX</t>
  </si>
  <si>
    <t>454407526</t>
  </si>
  <si>
    <t>1000RTHA</t>
  </si>
  <si>
    <t>JL/JT MY25 PCB (PN 35760089)</t>
  </si>
  <si>
    <t>454410092</t>
  </si>
  <si>
    <t>1000RSKH</t>
  </si>
  <si>
    <t>EXP FEE GC007 10865156</t>
  </si>
  <si>
    <t>454407799</t>
  </si>
  <si>
    <t>1000RDL6</t>
  </si>
  <si>
    <t>35785950</t>
  </si>
  <si>
    <t>454407527</t>
  </si>
  <si>
    <t>1000RTE2</t>
  </si>
  <si>
    <t>Create a dedicated CAO database</t>
  </si>
  <si>
    <t>454406816</t>
  </si>
  <si>
    <t>1000RL74</t>
  </si>
  <si>
    <t>CONN 6 F 0.64 MQS 2.8 MCP</t>
  </si>
  <si>
    <t>13895642</t>
  </si>
  <si>
    <t>454407745</t>
  </si>
  <si>
    <t>1000RSL1</t>
  </si>
  <si>
    <t>Exp Fee 13737249 8DQ121A T.E</t>
  </si>
  <si>
    <t>454407800</t>
  </si>
  <si>
    <t>1000RPYY</t>
  </si>
  <si>
    <t>EXP FEE 35605957 T.E</t>
  </si>
  <si>
    <t>454407802</t>
  </si>
  <si>
    <t>1000RUC6</t>
  </si>
  <si>
    <t>1062645</t>
  </si>
  <si>
    <t>Connector Female 6W EMB Proto</t>
  </si>
  <si>
    <t>454407524</t>
  </si>
  <si>
    <t>1000RUZS</t>
  </si>
  <si>
    <t>454407448</t>
  </si>
  <si>
    <t>1000RJ55</t>
  </si>
  <si>
    <t>expedite fee squibs highland</t>
  </si>
  <si>
    <t>454407442</t>
  </si>
  <si>
    <t>1000RUAH</t>
  </si>
  <si>
    <t>PE538757 Tool Revision</t>
  </si>
  <si>
    <t>454407746</t>
  </si>
  <si>
    <t>1000QW2S</t>
  </si>
  <si>
    <t>FV59</t>
  </si>
  <si>
    <t>Expedite Fee  PN 35654659/ Tyco</t>
  </si>
  <si>
    <t>454407525</t>
  </si>
  <si>
    <t>1000RUV7</t>
  </si>
  <si>
    <t>35747160 Lock ~ Tesla PCO-PCS2</t>
  </si>
  <si>
    <t>454407797</t>
  </si>
  <si>
    <t>1000RV16</t>
  </si>
  <si>
    <t>Compra de material para coberturas seman</t>
  </si>
  <si>
    <t>454407798</t>
  </si>
  <si>
    <t>1000RVMN</t>
  </si>
  <si>
    <t>35142203 Mount Insulation ~ Stellantis</t>
  </si>
  <si>
    <t>454407443</t>
  </si>
  <si>
    <t>1000RW0K</t>
  </si>
  <si>
    <t>454407449</t>
  </si>
  <si>
    <t>1000RVXF</t>
  </si>
  <si>
    <t>454408873</t>
  </si>
  <si>
    <t>1000RUAZ</t>
  </si>
  <si>
    <t>Storage payment for the month of Octobe</t>
  </si>
  <si>
    <t>454408966</t>
  </si>
  <si>
    <t>1000RVYW</t>
  </si>
  <si>
    <t>ASM CONN 50 F 0.64 GEN Y 1.2 GET SLD  BA</t>
  </si>
  <si>
    <t>35563812</t>
  </si>
  <si>
    <t>454408876</t>
  </si>
  <si>
    <t>1000RVZ5</t>
  </si>
  <si>
    <t>ASM CONN 49 F 0.64 GEN Y 1.2 GET SLD  BA</t>
  </si>
  <si>
    <t>35588048</t>
  </si>
  <si>
    <t>454408877</t>
  </si>
  <si>
    <t>1000RVZM</t>
  </si>
  <si>
    <t>ASM CONN 40 F 0.64 GEN Y 1.2 GET SLD  BA</t>
  </si>
  <si>
    <t>35455648</t>
  </si>
  <si>
    <t>454408159</t>
  </si>
  <si>
    <t>1000RUXX</t>
  </si>
  <si>
    <t>Mold-PM-33337306 PM D 0006</t>
  </si>
  <si>
    <t>454410826</t>
  </si>
  <si>
    <t>1000RVR1</t>
  </si>
  <si>
    <t>FW84</t>
  </si>
  <si>
    <t>35506378</t>
  </si>
  <si>
    <t>454410078</t>
  </si>
  <si>
    <t>1000RVX7</t>
  </si>
  <si>
    <t>COMPRA EXTRA DE COMPONENTE TERMINAL ANIL</t>
  </si>
  <si>
    <t>454408154</t>
  </si>
  <si>
    <t>1000RSM6</t>
  </si>
  <si>
    <t>Mega BCM Rotary Assembly Station for Hou</t>
  </si>
  <si>
    <t>454410828</t>
  </si>
  <si>
    <t>1000RUWS</t>
  </si>
  <si>
    <t>1084923</t>
  </si>
  <si>
    <t>Set of inserts for 35710531</t>
  </si>
  <si>
    <t>454408157</t>
  </si>
  <si>
    <t>1000RUX4</t>
  </si>
  <si>
    <t>Add Coin on die 35641302</t>
  </si>
  <si>
    <t>454408870</t>
  </si>
  <si>
    <t>1000RSKJ</t>
  </si>
  <si>
    <t>1012765</t>
  </si>
  <si>
    <t>CXM-KRI850CBP</t>
  </si>
  <si>
    <t>454412964</t>
  </si>
  <si>
    <t>1000RT6S</t>
  </si>
  <si>
    <t>1067706</t>
  </si>
  <si>
    <t>35828094  GSTM2-6050P-4R7M1-AE</t>
  </si>
  <si>
    <t>454408871</t>
  </si>
  <si>
    <t>1000RVX1</t>
  </si>
  <si>
    <t>SOLICITUD MATERIAL EXTRA  AEES</t>
  </si>
  <si>
    <t>454408144</t>
  </si>
  <si>
    <t>1000RVTB</t>
  </si>
  <si>
    <t>M6171101</t>
  </si>
  <si>
    <t>454408148</t>
  </si>
  <si>
    <t>1000RVR9</t>
  </si>
  <si>
    <t>EXP FEE TYCO 35830041 &amp; 35829610</t>
  </si>
  <si>
    <t>454409984</t>
  </si>
  <si>
    <t>1000RW0Z</t>
  </si>
  <si>
    <t>EXP FEE HONDURAS PN 47323878 STELLANTIS</t>
  </si>
  <si>
    <t>454408986</t>
  </si>
  <si>
    <t>1000RW1P</t>
  </si>
  <si>
    <t>EXP FEE FEDERAL MOGUL PN 13533652 EJ IP</t>
  </si>
  <si>
    <t>454410069</t>
  </si>
  <si>
    <t>1000RW1Z</t>
  </si>
  <si>
    <t>EXP FEE FEDERAL MOGUL PN 13547500 EJ DAS</t>
  </si>
  <si>
    <t>454409865</t>
  </si>
  <si>
    <t>1000RVXA</t>
  </si>
  <si>
    <t>ASM SUBH COAX    D2.80 L6165.00 B4</t>
  </si>
  <si>
    <t>35838027</t>
  </si>
  <si>
    <t>454410084</t>
  </si>
  <si>
    <t>1000RVXP</t>
  </si>
  <si>
    <t>ASM SUBH COAX BLK   D4.00 L4580.00 B2</t>
  </si>
  <si>
    <t>35800750</t>
  </si>
  <si>
    <t>454410079</t>
  </si>
  <si>
    <t>1000RW22</t>
  </si>
  <si>
    <t>EXP FEE FEREAL PN 35461543 EJ DASH</t>
  </si>
  <si>
    <t>454410082</t>
  </si>
  <si>
    <t>1000RWMW</t>
  </si>
  <si>
    <t>SOLICITUD DE TIEMPO EXTRA POR INCREMENTO</t>
  </si>
  <si>
    <t>454410081</t>
  </si>
  <si>
    <t>1000RV0O</t>
  </si>
  <si>
    <t>TERM</t>
  </si>
  <si>
    <t>35413134</t>
  </si>
  <si>
    <t>454409867</t>
  </si>
  <si>
    <t>1000RXGX</t>
  </si>
  <si>
    <t>#ASM SUBH COAX D2.80 L1690.00 B1</t>
  </si>
  <si>
    <t>454410080</t>
  </si>
  <si>
    <t>1000RWN6</t>
  </si>
  <si>
    <t>35634214 Term "A" ~ DCT1400</t>
  </si>
  <si>
    <t>454409975</t>
  </si>
  <si>
    <t>1000RWQ8</t>
  </si>
  <si>
    <t>PE561391 DCT2200 header test blade</t>
  </si>
  <si>
    <t>454410068</t>
  </si>
  <si>
    <t>1000RXI2</t>
  </si>
  <si>
    <t>ASM CONN 18 M COAX JACK OCS 1.5</t>
  </si>
  <si>
    <t>35585546</t>
  </si>
  <si>
    <t>454414929</t>
  </si>
  <si>
    <t>1000RXI5</t>
  </si>
  <si>
    <t>454414930</t>
  </si>
  <si>
    <t>1000RWU5</t>
  </si>
  <si>
    <t>1090290</t>
  </si>
  <si>
    <t>M8750066</t>
  </si>
  <si>
    <t>454410506</t>
  </si>
  <si>
    <t>1000RY47</t>
  </si>
  <si>
    <t>35610624 Term ~ DCT1400</t>
  </si>
  <si>
    <t>454410504</t>
  </si>
  <si>
    <t>1000RY56</t>
  </si>
  <si>
    <t>1025349</t>
  </si>
  <si>
    <t>RING TERM TOOLING 35536753-55</t>
  </si>
  <si>
    <t>454410511</t>
  </si>
  <si>
    <t>1000RYBC</t>
  </si>
  <si>
    <t>1080531</t>
  </si>
  <si>
    <t>454410915</t>
  </si>
  <si>
    <t>1000RXKY</t>
  </si>
  <si>
    <t>35434735 PM A 0001 Desing &amp; weld+R/W of</t>
  </si>
  <si>
    <t>454411164</t>
  </si>
  <si>
    <t>1000RWR9</t>
  </si>
  <si>
    <t>35757765 MASTERFUSE STELLANTIS DT PROTOT</t>
  </si>
  <si>
    <t>454410519</t>
  </si>
  <si>
    <t>1000RY80</t>
  </si>
  <si>
    <t>1082225</t>
  </si>
  <si>
    <t>The emergency fee for PN 33126572</t>
  </si>
  <si>
    <t>454411165</t>
  </si>
  <si>
    <t>1000RHMQ</t>
  </si>
  <si>
    <t>35758288 - MEGABRACE CHANNEL TOOLING</t>
  </si>
  <si>
    <t>454411166</t>
  </si>
  <si>
    <t>1000RIZZ</t>
  </si>
  <si>
    <t>1072624</t>
  </si>
  <si>
    <t>35835725 - INJ MOLD - CHAN</t>
  </si>
  <si>
    <t>454411726</t>
  </si>
  <si>
    <t>1000RJ05</t>
  </si>
  <si>
    <t>35836929_35836928 - INJ MOLD - CHAN/COV</t>
  </si>
  <si>
    <t>454410916</t>
  </si>
  <si>
    <t>1000RY4Y</t>
  </si>
  <si>
    <t>RING TERM TOOLING 35536756</t>
  </si>
  <si>
    <t>454411167</t>
  </si>
  <si>
    <t>1000RQPQ</t>
  </si>
  <si>
    <t>454411558</t>
  </si>
  <si>
    <t>1000RWQF</t>
  </si>
  <si>
    <t>EXP FEE REQUISICION EXTRA MATERIAL</t>
  </si>
  <si>
    <t>454411815</t>
  </si>
  <si>
    <t>1000RWRH</t>
  </si>
  <si>
    <t>ASM SUBH COAX    D2.80 L4830.00 B1</t>
  </si>
  <si>
    <t>35499268</t>
  </si>
  <si>
    <t>454411730</t>
  </si>
  <si>
    <t>1000RWPJ</t>
  </si>
  <si>
    <t>454411816</t>
  </si>
  <si>
    <t>1000RV1I</t>
  </si>
  <si>
    <t>EXP FEE ELASTOMEROS</t>
  </si>
  <si>
    <t>454411820</t>
  </si>
  <si>
    <t>1000RY71</t>
  </si>
  <si>
    <t>SRS TRM PIGTL SFPL90-2 L1950.00 B2</t>
  </si>
  <si>
    <t>47361425</t>
  </si>
  <si>
    <t>454411356</t>
  </si>
  <si>
    <t>1000RYY7</t>
  </si>
  <si>
    <t>35670416 Cover ~ Stellantis</t>
  </si>
  <si>
    <t>454411734</t>
  </si>
  <si>
    <t>1000RYGM</t>
  </si>
  <si>
    <t>APROBACION DE EXP FEE, COBERTURA RESTANT</t>
  </si>
  <si>
    <t>454412066</t>
  </si>
  <si>
    <t>1000RYGV</t>
  </si>
  <si>
    <t>MATERIAL ESXTRA FEDRAL LLC</t>
  </si>
  <si>
    <t>454412065</t>
  </si>
  <si>
    <t>1000RYHH</t>
  </si>
  <si>
    <t>COMPRA DE MATERIAL PARA FEDERAL MOGUL</t>
  </si>
  <si>
    <t>454411354</t>
  </si>
  <si>
    <t>1000RYIA</t>
  </si>
  <si>
    <t>COMPRA EXTRA MATERIAL PARA FEDERAL MOGUL</t>
  </si>
  <si>
    <t>454412067</t>
  </si>
  <si>
    <t>1000RWT0</t>
  </si>
  <si>
    <t>TERM   FERRULE COAX</t>
  </si>
  <si>
    <t>33247365</t>
  </si>
  <si>
    <t>454411819</t>
  </si>
  <si>
    <t>1000RXTL</t>
  </si>
  <si>
    <t>Cimplicity(SCADA software) training &amp; co</t>
  </si>
  <si>
    <t>454414988</t>
  </si>
  <si>
    <t>1000RXJN</t>
  </si>
  <si>
    <t>1061744</t>
  </si>
  <si>
    <t>ASM SUBH USB    D4.85 L1765.00 B2</t>
  </si>
  <si>
    <t>35538429</t>
  </si>
  <si>
    <t>454411732</t>
  </si>
  <si>
    <t>1000RXL9</t>
  </si>
  <si>
    <t>1078206</t>
  </si>
  <si>
    <t>ASM SUBH COAX    D4.60 L620.00 B1</t>
  </si>
  <si>
    <t>35651282</t>
  </si>
  <si>
    <t>454411817</t>
  </si>
  <si>
    <t>1000RXF7</t>
  </si>
  <si>
    <t>454412068</t>
  </si>
  <si>
    <t>1000RWRZ</t>
  </si>
  <si>
    <t>1034052</t>
  </si>
  <si>
    <t>GROM DOOR CDT</t>
  </si>
  <si>
    <t>PE574140</t>
  </si>
  <si>
    <t>454411357</t>
  </si>
  <si>
    <t>1000RYAO</t>
  </si>
  <si>
    <t>Inner Base Prototype Injection Mold</t>
  </si>
  <si>
    <t>454411740</t>
  </si>
  <si>
    <t>1000RW0S</t>
  </si>
  <si>
    <t>EXP FEE TIJUANA 35822747 STELLANTIS IP E</t>
  </si>
  <si>
    <t>454413101</t>
  </si>
  <si>
    <t>1000RPZS</t>
  </si>
  <si>
    <t>EXPEDITE FEE 13816443 ROYAL DIE &amp; STAMPI</t>
  </si>
  <si>
    <t>454412796</t>
  </si>
  <si>
    <t>1000RUXO</t>
  </si>
  <si>
    <t>FV35</t>
  </si>
  <si>
    <t>Renewal Forklift S/N: 9A207923 And Bater</t>
  </si>
  <si>
    <t>454414813</t>
  </si>
  <si>
    <t>1000RUYA</t>
  </si>
  <si>
    <t>Renewal Forklift S/N: V47-0229-9866KF co</t>
  </si>
  <si>
    <t>454414120</t>
  </si>
  <si>
    <t>1000RUYH</t>
  </si>
  <si>
    <t>Renewal Forklift S/N: 1A421587 And Bater</t>
  </si>
  <si>
    <t>454413836</t>
  </si>
  <si>
    <t>1000RUY1</t>
  </si>
  <si>
    <t>Renewal Forklift S/N: 1A420015 And Bater</t>
  </si>
  <si>
    <t>454414815</t>
  </si>
  <si>
    <t>1000RUYE</t>
  </si>
  <si>
    <t>Renewal Forklift S/N: 1A421365 And Bater</t>
  </si>
  <si>
    <t>454414121</t>
  </si>
  <si>
    <t>1000RUYL</t>
  </si>
  <si>
    <t>Renewal Forklift S/N: 1A421585 And Bater</t>
  </si>
  <si>
    <t>454414816</t>
  </si>
  <si>
    <t>1000RUYI</t>
  </si>
  <si>
    <t>Renewal Forklift S/N: 1A421580 And Bater</t>
  </si>
  <si>
    <t>454414122</t>
  </si>
  <si>
    <t>1000RXJH</t>
  </si>
  <si>
    <t>ASM SUBH ETHERNET    D3.20 L1980.00 B1</t>
  </si>
  <si>
    <t>35779423</t>
  </si>
  <si>
    <t>454412795</t>
  </si>
  <si>
    <t>1000RY5C</t>
  </si>
  <si>
    <t>454412794</t>
  </si>
  <si>
    <t>1000RY64</t>
  </si>
  <si>
    <t>ETHERNET EXPEDITE FEE FOR PN 35779423</t>
  </si>
  <si>
    <t>454412793</t>
  </si>
  <si>
    <t>1000RY6A</t>
  </si>
  <si>
    <t>454412791</t>
  </si>
  <si>
    <t>1000RY6E</t>
  </si>
  <si>
    <t>454412408</t>
  </si>
  <si>
    <t>1000RZPH</t>
  </si>
  <si>
    <t>35717819-IMH-A-0001  ADD COMONEO SYSTEM</t>
  </si>
  <si>
    <t>454413882</t>
  </si>
  <si>
    <t>1000RYZ6</t>
  </si>
  <si>
    <t>454413545</t>
  </si>
  <si>
    <t>1000RY6H</t>
  </si>
  <si>
    <t>454412871</t>
  </si>
  <si>
    <t>1000RZOM</t>
  </si>
  <si>
    <t>454412407</t>
  </si>
  <si>
    <t>1000RUXG</t>
  </si>
  <si>
    <t>FV52</t>
  </si>
  <si>
    <t>Renewal Forklift S/N: 9A208093 And Bater</t>
  </si>
  <si>
    <t>454413829</t>
  </si>
  <si>
    <t>1000RUY8</t>
  </si>
  <si>
    <t>Renewal Forklift S/N: 9A207920 And Bater</t>
  </si>
  <si>
    <t>454413830</t>
  </si>
  <si>
    <t>1000RUYB</t>
  </si>
  <si>
    <t>FW01</t>
  </si>
  <si>
    <t>Renewal Forklift S/N: V47-0232-9866KF co</t>
  </si>
  <si>
    <t>454413831</t>
  </si>
  <si>
    <t>1000RUYF</t>
  </si>
  <si>
    <t>Renewal Forklift S/N: 9A208031 And Bater</t>
  </si>
  <si>
    <t>454413832</t>
  </si>
  <si>
    <t>1000RUYG</t>
  </si>
  <si>
    <t>Renewal Forklift S/N: 9A208137 And Bater</t>
  </si>
  <si>
    <t>454413834</t>
  </si>
  <si>
    <t>1000RUYQ</t>
  </si>
  <si>
    <t>Renewal Forklift S/N: 1A421358 And Bater</t>
  </si>
  <si>
    <t>454413835</t>
  </si>
  <si>
    <t>1000RYZC</t>
  </si>
  <si>
    <t>13586691</t>
  </si>
  <si>
    <t>454413606</t>
  </si>
  <si>
    <t>1000RYZE</t>
  </si>
  <si>
    <t>15355532</t>
  </si>
  <si>
    <t>454413542</t>
  </si>
  <si>
    <t>1000RYZG</t>
  </si>
  <si>
    <t>454413541</t>
  </si>
  <si>
    <t>1000RYYS</t>
  </si>
  <si>
    <t>COND CNVLT SLIT  32MM ID=32.40 OD=38.00</t>
  </si>
  <si>
    <t>M4936032</t>
  </si>
  <si>
    <t>454414802</t>
  </si>
  <si>
    <t>1000RXF2</t>
  </si>
  <si>
    <t>TERM   RING GRD SN</t>
  </si>
  <si>
    <t>454413548</t>
  </si>
  <si>
    <t>1000RU6H</t>
  </si>
  <si>
    <t>ASM CONN 8 F 1.2  BLK SLD</t>
  </si>
  <si>
    <t>33360097</t>
  </si>
  <si>
    <t>454414619</t>
  </si>
  <si>
    <t>1000RZSZ</t>
  </si>
  <si>
    <t>TERM   RING  SN</t>
  </si>
  <si>
    <t>454413549</t>
  </si>
  <si>
    <t>1000RZT5</t>
  </si>
  <si>
    <t>TERM   RING TAB DOWN SN</t>
  </si>
  <si>
    <t>454413878</t>
  </si>
  <si>
    <t>1000RYZY</t>
  </si>
  <si>
    <t>Annual PO for T-Mobile US</t>
  </si>
  <si>
    <t>454414123</t>
  </si>
  <si>
    <t>1000RP5S</t>
  </si>
  <si>
    <t>CONN 4 F 0.64 MQS BLK</t>
  </si>
  <si>
    <t>454413883</t>
  </si>
  <si>
    <t>1000S0GP</t>
  </si>
  <si>
    <t>ASM SUBH USB    D5.20 L1880.00 B1</t>
  </si>
  <si>
    <t>35072363</t>
  </si>
  <si>
    <t>454413889</t>
  </si>
  <si>
    <t>1000S12J</t>
  </si>
  <si>
    <t>TERM  M 2.8 US SERIES SN</t>
  </si>
  <si>
    <t>33208988</t>
  </si>
  <si>
    <t>454413890</t>
  </si>
  <si>
    <t>1000RZN4</t>
  </si>
  <si>
    <t>FW65</t>
  </si>
  <si>
    <t>ASM TERM  M 5.8  SN SEALED</t>
  </si>
  <si>
    <t>10775014</t>
  </si>
  <si>
    <t>454413881</t>
  </si>
  <si>
    <t>1000RZN6</t>
  </si>
  <si>
    <t>SEAL CBL 1W CAVITY  WHT</t>
  </si>
  <si>
    <t>12147387</t>
  </si>
  <si>
    <t>454413550</t>
  </si>
  <si>
    <t>1000RZP5</t>
  </si>
  <si>
    <t>1034739</t>
  </si>
  <si>
    <t>ASM CONN 55 M CTS 280 630 OCS 1.2 SLD MO</t>
  </si>
  <si>
    <t>35205174</t>
  </si>
  <si>
    <t>454414810</t>
  </si>
  <si>
    <t>1000RZP6</t>
  </si>
  <si>
    <t>454414621</t>
  </si>
  <si>
    <t>1000RZP8</t>
  </si>
  <si>
    <t>454414811</t>
  </si>
  <si>
    <t>1000RZP3</t>
  </si>
  <si>
    <t>454414812</t>
  </si>
  <si>
    <t>1000RYTY</t>
  </si>
  <si>
    <t>1014170</t>
  </si>
  <si>
    <t>454414065</t>
  </si>
  <si>
    <t>1000S0D3</t>
  </si>
  <si>
    <t>CONN 4 F HFM  BLK SLD</t>
  </si>
  <si>
    <t>35772418</t>
  </si>
  <si>
    <t>454414614</t>
  </si>
  <si>
    <t>1000RZQ9</t>
  </si>
  <si>
    <t>CABL FLR2X-A 0.350 WHT  GRN LT STR NONE</t>
  </si>
  <si>
    <t>M6171043</t>
  </si>
  <si>
    <t>454414610</t>
  </si>
  <si>
    <t>1000RTJT</t>
  </si>
  <si>
    <t>1067731</t>
  </si>
  <si>
    <t>BULK CONTAINER FOOTPRINT: 4845-34  HDR</t>
  </si>
  <si>
    <t>454414128</t>
  </si>
  <si>
    <t>1000RAPN</t>
  </si>
  <si>
    <t>1020131</t>
  </si>
  <si>
    <t>SB01</t>
  </si>
  <si>
    <t>454415323</t>
  </si>
  <si>
    <t>1000RAPQ</t>
  </si>
  <si>
    <t>454415322</t>
  </si>
  <si>
    <t>1000RAPR</t>
  </si>
  <si>
    <t>454415325</t>
  </si>
  <si>
    <t>1000RAPS</t>
  </si>
  <si>
    <t>454415326</t>
  </si>
  <si>
    <t>1000RJ3T</t>
  </si>
  <si>
    <t>35615393</t>
  </si>
  <si>
    <t>454413556</t>
  </si>
  <si>
    <t>1000RJ3Q</t>
  </si>
  <si>
    <t>454414604</t>
  </si>
  <si>
    <t>FAN</t>
  </si>
  <si>
    <t>XPK7C01913</t>
  </si>
  <si>
    <t>1000RYBL</t>
  </si>
  <si>
    <t>ASM SUBH COAX BLK   D3.00 L7350.00 B1</t>
  </si>
  <si>
    <t>35792051</t>
  </si>
  <si>
    <t>454414606</t>
  </si>
  <si>
    <t>1000RYC7</t>
  </si>
  <si>
    <t>ASM SUBH COAX    D3.30 L2055.00 B1</t>
  </si>
  <si>
    <t>35838775</t>
  </si>
  <si>
    <t>454414936</t>
  </si>
  <si>
    <t>1000RYCB</t>
  </si>
  <si>
    <t>35811259</t>
  </si>
  <si>
    <t>454415456</t>
  </si>
  <si>
    <t>1000S0H2</t>
  </si>
  <si>
    <t>SRS TRM PIGTL SFPL180-1 L1386.00 B1</t>
  </si>
  <si>
    <t>47317815</t>
  </si>
  <si>
    <t>454414809</t>
  </si>
  <si>
    <t>1000S17M</t>
  </si>
  <si>
    <t>15541998</t>
  </si>
  <si>
    <t>454414616</t>
  </si>
  <si>
    <t>1000S0HG</t>
  </si>
  <si>
    <t>1076356</t>
  </si>
  <si>
    <t>ASM CONN 4 F 6.3 9.5</t>
  </si>
  <si>
    <t>13659356</t>
  </si>
  <si>
    <t>454414620</t>
  </si>
  <si>
    <t>1000S0IB</t>
  </si>
  <si>
    <t>35688687-PM-A-0001 Rework Inserts</t>
  </si>
  <si>
    <t>454414618</t>
  </si>
  <si>
    <t>1000S0IG</t>
  </si>
  <si>
    <t>35688687-PM-B-0002 Rework Inserts</t>
  </si>
  <si>
    <t>454414808</t>
  </si>
  <si>
    <t>1000S17C</t>
  </si>
  <si>
    <t>SLEV OVERLAP</t>
  </si>
  <si>
    <t>454414807</t>
  </si>
  <si>
    <t>1000S17E</t>
  </si>
  <si>
    <t>SLEV WOVEN SLIT</t>
  </si>
  <si>
    <t>454414617</t>
  </si>
  <si>
    <t>1000S17L</t>
  </si>
  <si>
    <t>454414806</t>
  </si>
  <si>
    <t>1000S17O</t>
  </si>
  <si>
    <t>SLEV HT REFLECT SHIELD</t>
  </si>
  <si>
    <t>454414615</t>
  </si>
  <si>
    <t>1000S17R</t>
  </si>
  <si>
    <t>454414805</t>
  </si>
  <si>
    <t>1000S17T</t>
  </si>
  <si>
    <t>454414613</t>
  </si>
  <si>
    <t>1000S0HH</t>
  </si>
  <si>
    <t>ASM CONN 2 F 0.64 MQS BLK SLD</t>
  </si>
  <si>
    <t>454414804</t>
  </si>
  <si>
    <t>1000S0HL</t>
  </si>
  <si>
    <t>CONN 10 F 0.5 NANOMQS NAT</t>
  </si>
  <si>
    <t>454414612</t>
  </si>
  <si>
    <t>1000S15A</t>
  </si>
  <si>
    <t>TERM  F 6.35  SN</t>
  </si>
  <si>
    <t>454414803</t>
  </si>
  <si>
    <t>1000S1PV</t>
  </si>
  <si>
    <t>1006597</t>
  </si>
  <si>
    <t>MOUN FASTENER VELCRO BLK   HOOK LOOP</t>
  </si>
  <si>
    <t>35791604</t>
  </si>
  <si>
    <t>454414935</t>
  </si>
  <si>
    <t>1000S1PZ</t>
  </si>
  <si>
    <t>454415453</t>
  </si>
  <si>
    <t>1000S1Q0</t>
  </si>
  <si>
    <t>454414934</t>
  </si>
  <si>
    <t>1000RY75</t>
  </si>
  <si>
    <t>454415454</t>
  </si>
  <si>
    <t>1000RWR3</t>
  </si>
  <si>
    <t>875012-01. VRTS2 Base System - 1AOA, 18-</t>
  </si>
  <si>
    <t>454416957</t>
  </si>
  <si>
    <t>1000RHO9</t>
  </si>
  <si>
    <t>NRE BARCODE UPGRADE ON NEW FORD C + C FI</t>
  </si>
  <si>
    <t>1000S1S4</t>
  </si>
  <si>
    <t>CABL FLRY-A 0.350 GRA  GRN DK STR NONE P</t>
  </si>
  <si>
    <t>M3130A18</t>
  </si>
  <si>
    <t>454414937</t>
  </si>
  <si>
    <t>1000S18J</t>
  </si>
  <si>
    <t>1076319</t>
  </si>
  <si>
    <t>TERM  M 025 TH SN</t>
  </si>
  <si>
    <t>13952371</t>
  </si>
  <si>
    <t>454415457</t>
  </si>
  <si>
    <t>HEATING CARTRIDGE</t>
  </si>
  <si>
    <t>XPK7P04013</t>
  </si>
  <si>
    <t>454418726</t>
  </si>
  <si>
    <t>1000S28X</t>
  </si>
  <si>
    <t>ASM TERM  F 2.8 MPQ SN</t>
  </si>
  <si>
    <t>454417786</t>
  </si>
  <si>
    <t>1000S26T</t>
  </si>
  <si>
    <t>ASM CONN 6 F 0.64 MQS BLK SLD</t>
  </si>
  <si>
    <t>454417785</t>
  </si>
  <si>
    <t>1000S177</t>
  </si>
  <si>
    <t>ASM SUBH COAX BLK   D3.00 L2040.00 B1</t>
  </si>
  <si>
    <t>35681390</t>
  </si>
  <si>
    <t>454417788</t>
  </si>
  <si>
    <t>1000RY69</t>
  </si>
  <si>
    <t>454417787</t>
  </si>
  <si>
    <t>1000RQS5</t>
  </si>
  <si>
    <t>35798960 conn seal production tool</t>
  </si>
  <si>
    <t>454417789</t>
  </si>
  <si>
    <t>1000S0I7</t>
  </si>
  <si>
    <t>35688688 PM A 0001 NEW INSERTS</t>
  </si>
  <si>
    <t>454417790</t>
  </si>
  <si>
    <t>1000S256</t>
  </si>
  <si>
    <t>35660002 Lock ~ DCT1400 Header</t>
  </si>
  <si>
    <t>454418214</t>
  </si>
  <si>
    <t>1000S26V</t>
  </si>
  <si>
    <t>CONN 2 F 0.64 MQS BLK</t>
  </si>
  <si>
    <t>454417859</t>
  </si>
  <si>
    <t>1000S15G</t>
  </si>
  <si>
    <t>M4827RA4 Tape ~ Stellantis, Borg Warner</t>
  </si>
  <si>
    <t>454418340</t>
  </si>
  <si>
    <t>1000S10H</t>
  </si>
  <si>
    <t>35715656 Term ~ Stellantis</t>
  </si>
  <si>
    <t>454417857</t>
  </si>
  <si>
    <t>1000RSK9</t>
  </si>
  <si>
    <t>Engineering Resin Change APN: 35504452</t>
  </si>
  <si>
    <t>454418734</t>
  </si>
  <si>
    <t>LEVER</t>
  </si>
  <si>
    <t>XPK7B10990</t>
  </si>
  <si>
    <t>454418900</t>
  </si>
  <si>
    <t>1000RUXA</t>
  </si>
  <si>
    <t>FV32</t>
  </si>
  <si>
    <t>Renewal Forklift S/N: 9A225827 cover per</t>
  </si>
  <si>
    <t>454419578</t>
  </si>
  <si>
    <t>1000RUY4</t>
  </si>
  <si>
    <t>Renewal Forklift S/N: V811-0085-9875KF c</t>
  </si>
  <si>
    <t>454419579</t>
  </si>
  <si>
    <t>1000RUXK</t>
  </si>
  <si>
    <t>Renewal Forklift S/N: 9A208053 And Bater</t>
  </si>
  <si>
    <t>454419580</t>
  </si>
  <si>
    <t>1000ROM1</t>
  </si>
  <si>
    <t>1060225</t>
  </si>
  <si>
    <t>C0028347</t>
  </si>
  <si>
    <t>454418628</t>
  </si>
  <si>
    <t>1000RUXH</t>
  </si>
  <si>
    <t>Renewal Forklift S/N: 9A208052 And Bater</t>
  </si>
  <si>
    <t>454421191</t>
  </si>
  <si>
    <t>1000RUYO</t>
  </si>
  <si>
    <t>FW61</t>
  </si>
  <si>
    <t>Renewal Forklift S/N: 9A208181 And Bater</t>
  </si>
  <si>
    <t>454421192</t>
  </si>
  <si>
    <t>1000RUXE</t>
  </si>
  <si>
    <t>Renewal Forklift S/N: 9A208092 And Bater</t>
  </si>
  <si>
    <t>454421116</t>
  </si>
  <si>
    <t>1000RUXJ</t>
  </si>
  <si>
    <t>Renewal Forklift S/N: 1A421606 And Bater</t>
  </si>
  <si>
    <t>454421117</t>
  </si>
  <si>
    <t>1000S4K9</t>
  </si>
  <si>
    <t>454419143</t>
  </si>
  <si>
    <t>1000S3DM</t>
  </si>
  <si>
    <t>35798358 Lock (Formerly PE529813) ~ Stel</t>
  </si>
  <si>
    <t>454419443</t>
  </si>
  <si>
    <t>1000S3DV</t>
  </si>
  <si>
    <t>35340213 Seal ~ Borg Warner</t>
  </si>
  <si>
    <t>454419590</t>
  </si>
  <si>
    <t>1000S41F</t>
  </si>
  <si>
    <t>35717819 IMH A detail 1051 Insert</t>
  </si>
  <si>
    <t>454420291</t>
  </si>
  <si>
    <t>1000S16C</t>
  </si>
  <si>
    <t>1090751</t>
  </si>
  <si>
    <t>454419545</t>
  </si>
  <si>
    <t>1000S433</t>
  </si>
  <si>
    <t>1059223</t>
  </si>
  <si>
    <t>35831197 Cover switch assembly</t>
  </si>
  <si>
    <t>454420049</t>
  </si>
  <si>
    <t>1000S4Q0</t>
  </si>
  <si>
    <t>1090240</t>
  </si>
  <si>
    <t>13737074</t>
  </si>
  <si>
    <t>1000S4QR</t>
  </si>
  <si>
    <t>1070207</t>
  </si>
  <si>
    <t>33300630 PM A DETAIL  3072</t>
  </si>
  <si>
    <t>454420293</t>
  </si>
  <si>
    <t>1000S1OB</t>
  </si>
  <si>
    <t>35692099 PCBA ~ HMI Inlet Stellantis</t>
  </si>
  <si>
    <t>454420820</t>
  </si>
  <si>
    <t>1000S1RK</t>
  </si>
  <si>
    <t>1050470</t>
  </si>
  <si>
    <t>Marquardt tool rebill PO 6200664115</t>
  </si>
  <si>
    <t>454421051</t>
  </si>
  <si>
    <t>1000S4HZ</t>
  </si>
  <si>
    <t>1005711</t>
  </si>
  <si>
    <t>13737702 TERM ~ HV Coax Assemblies</t>
  </si>
  <si>
    <t>454420819</t>
  </si>
  <si>
    <t>1000S4M0</t>
  </si>
  <si>
    <t>35562888 DIE CASTING BASE</t>
  </si>
  <si>
    <t>454420816</t>
  </si>
  <si>
    <t>1000RYAM</t>
  </si>
  <si>
    <t>1070478</t>
  </si>
  <si>
    <t>M8043101</t>
  </si>
  <si>
    <t>454420822</t>
  </si>
  <si>
    <t>1000S34C</t>
  </si>
  <si>
    <t>35770218 SUBH AMEC ~ Condumex</t>
  </si>
  <si>
    <t>454420817</t>
  </si>
  <si>
    <t>1000S5WK</t>
  </si>
  <si>
    <t>1067687</t>
  </si>
  <si>
    <t>TAPE HARNESS BLK    W=160.00  T=0.530</t>
  </si>
  <si>
    <t>M4827S07</t>
  </si>
  <si>
    <t>454420828</t>
  </si>
  <si>
    <t>1000S5ZU</t>
  </si>
  <si>
    <t>ASM CONN 21 M 0.64 GEN Y 1.5 YESC 2.8</t>
  </si>
  <si>
    <t>35035271</t>
  </si>
  <si>
    <t>454421983</t>
  </si>
  <si>
    <t>1000S42N</t>
  </si>
  <si>
    <t>1045544</t>
  </si>
  <si>
    <t>Expeditado compartido para Grommet Rav4</t>
  </si>
  <si>
    <t>454421980</t>
  </si>
  <si>
    <t>1000S44A</t>
  </si>
  <si>
    <t>ASM SUBH MULTIMEDIA    D4.70 L2406.00 B2</t>
  </si>
  <si>
    <t>35349276</t>
  </si>
  <si>
    <t>454421979</t>
  </si>
  <si>
    <t>1000S58H</t>
  </si>
  <si>
    <t>35708492 Terminal - Proto Samples</t>
  </si>
  <si>
    <t>1000RXH9</t>
  </si>
  <si>
    <t>Solder Stencil</t>
  </si>
  <si>
    <t>454421982</t>
  </si>
  <si>
    <t>1000S1U8</t>
  </si>
  <si>
    <t>ASM SUBH COAX    D3.30 L3075.00 B1</t>
  </si>
  <si>
    <t>35776322</t>
  </si>
  <si>
    <t>454420825</t>
  </si>
  <si>
    <t>1000S1UM</t>
  </si>
  <si>
    <t>ASM SUBH COAX MULTI   D2.90 L2792.00 B1</t>
  </si>
  <si>
    <t>35228600</t>
  </si>
  <si>
    <t>454421060</t>
  </si>
  <si>
    <t>1000S4TF</t>
  </si>
  <si>
    <t>ASM SUBH COAX MULTI   D6.00 L4356.00 B1</t>
  </si>
  <si>
    <t>35212875</t>
  </si>
  <si>
    <t>454420824</t>
  </si>
  <si>
    <t>1000S458</t>
  </si>
  <si>
    <t>454420826</t>
  </si>
  <si>
    <t>1000S4OW</t>
  </si>
  <si>
    <t>CONN 6 F 0.64 MQS BLK</t>
  </si>
  <si>
    <t>10756974</t>
  </si>
  <si>
    <t>454420833</t>
  </si>
  <si>
    <t>1000S5ZA</t>
  </si>
  <si>
    <t>EXPEDITE FEE 13868413 ROYAL DIE &amp; STAMPI</t>
  </si>
  <si>
    <t>454421532</t>
  </si>
  <si>
    <t>1000S6QS</t>
  </si>
  <si>
    <t>454421981</t>
  </si>
  <si>
    <t>Purchase Requisition</t>
  </si>
  <si>
    <t>Req. Tracking Number</t>
  </si>
  <si>
    <t>Desired Vendor</t>
  </si>
  <si>
    <t>Plant</t>
  </si>
  <si>
    <t>Item of Requisition</t>
  </si>
  <si>
    <t>Short Text</t>
  </si>
  <si>
    <t>Quantity Requested</t>
  </si>
  <si>
    <t>Unit of Measure</t>
  </si>
  <si>
    <t>Purchasing Group</t>
  </si>
  <si>
    <t>Total Value</t>
  </si>
  <si>
    <t>Material</t>
  </si>
  <si>
    <t>Purchase Order</t>
  </si>
  <si>
    <t>Purchase Order Date</t>
  </si>
  <si>
    <t>PR REGISTRADAS:</t>
  </si>
  <si>
    <t>Aguilar, Edg</t>
  </si>
  <si>
    <t>velez m, Alm</t>
  </si>
  <si>
    <t>Martinez, La</t>
  </si>
  <si>
    <t>Reyes, Erik</t>
  </si>
  <si>
    <t>Hartill, Nic</t>
  </si>
  <si>
    <t>Canas, Esmer</t>
  </si>
  <si>
    <t>Huizar, Pabl</t>
  </si>
  <si>
    <t>Avila, Edson</t>
  </si>
  <si>
    <t>Rios, Blanca</t>
  </si>
  <si>
    <t>Alvarez, Jua</t>
  </si>
  <si>
    <t>James Cook</t>
  </si>
  <si>
    <t>Simental, Ga</t>
  </si>
  <si>
    <t>Hernandez, M</t>
  </si>
  <si>
    <t>Quiroz, Yuli</t>
  </si>
  <si>
    <t>Krajewski, W</t>
  </si>
  <si>
    <t>Pechatsko, J</t>
  </si>
  <si>
    <t>Lince, Lorne</t>
  </si>
  <si>
    <t>Robison, Gle</t>
  </si>
  <si>
    <t>Kosec, Greg</t>
  </si>
  <si>
    <t>Kirkpatrick,</t>
  </si>
  <si>
    <t>Meza, Lesly</t>
  </si>
  <si>
    <t>George, Terr</t>
  </si>
  <si>
    <t>Ramirez, Lor</t>
  </si>
  <si>
    <t>Upadhye, Raj</t>
  </si>
  <si>
    <t>Rosales, Lui</t>
  </si>
  <si>
    <t>LORNE LINCE</t>
  </si>
  <si>
    <t>Gonzalez-gar</t>
  </si>
  <si>
    <t>Hernandez, B</t>
  </si>
  <si>
    <t>Carmen Herna</t>
  </si>
  <si>
    <t>Mata, Adrian</t>
  </si>
  <si>
    <t>abigail.alva</t>
  </si>
  <si>
    <t>Chad Kirkpat</t>
  </si>
  <si>
    <t>Miller, Luzm</t>
  </si>
  <si>
    <t>Perez, Maria</t>
  </si>
  <si>
    <t>Rexford, Rac</t>
  </si>
  <si>
    <t>Perdomo, Gre</t>
  </si>
  <si>
    <t>Guerrero, My</t>
  </si>
  <si>
    <t>Salas, Janne</t>
  </si>
  <si>
    <t>rene.orlando</t>
  </si>
  <si>
    <t>Briseno, May</t>
  </si>
  <si>
    <t>Avila, Rene</t>
  </si>
  <si>
    <t>Faviola, Ram</t>
  </si>
  <si>
    <t>Sanchez 2, G</t>
  </si>
  <si>
    <t>Rodriguez, G</t>
  </si>
  <si>
    <t>Jaramillo, D</t>
  </si>
  <si>
    <t>Mioto, Anast</t>
  </si>
  <si>
    <t>Ruiz, Mauric</t>
  </si>
  <si>
    <t>FLORES, LUIS</t>
  </si>
  <si>
    <t>Navarro, Yes</t>
  </si>
  <si>
    <t>White, Jason</t>
  </si>
  <si>
    <t>Avila, Ruben</t>
  </si>
  <si>
    <t>Carrasco, Ed</t>
  </si>
  <si>
    <t>Shane Casper</t>
  </si>
  <si>
    <t>Durse, Nicho</t>
  </si>
  <si>
    <t>Altamirano,</t>
  </si>
  <si>
    <t>Ponce Bravo,</t>
  </si>
  <si>
    <t>Amaro, Monic</t>
  </si>
  <si>
    <t>Garcia Ronqu</t>
  </si>
  <si>
    <t>Seifert, Kur</t>
  </si>
  <si>
    <t>Welter, Pete</t>
  </si>
  <si>
    <t>Morse, Tim</t>
  </si>
  <si>
    <t>Leggieri, Ni</t>
  </si>
  <si>
    <t>Perdomo, Kat</t>
  </si>
  <si>
    <t>Escobedo, Ce</t>
  </si>
  <si>
    <t>Dominguez, C</t>
  </si>
  <si>
    <t>Carter, Robe</t>
  </si>
  <si>
    <t>Santos, Hild</t>
  </si>
  <si>
    <t>Corzas, Rica</t>
  </si>
  <si>
    <t>Johnson, Kev</t>
  </si>
  <si>
    <t>Ramirez, Leo</t>
  </si>
  <si>
    <t>Arellano, Re</t>
  </si>
  <si>
    <t>Campos, Gerh</t>
  </si>
  <si>
    <t>Chen, Amy</t>
  </si>
  <si>
    <t>Diaz, Maria</t>
  </si>
  <si>
    <t>Madrid, Emma</t>
  </si>
  <si>
    <t>Sanchez, Reb</t>
  </si>
  <si>
    <t>Trevino, Pao</t>
  </si>
  <si>
    <t>Ruiz, Jesus</t>
  </si>
  <si>
    <t>Pena, Aaron</t>
  </si>
  <si>
    <t>Carbajal, Cr</t>
  </si>
  <si>
    <t>Abadia, Citl</t>
  </si>
  <si>
    <t>Ammeen, Nich</t>
  </si>
  <si>
    <t>Aguilar, Eri</t>
  </si>
  <si>
    <t>Musso, Ruben</t>
  </si>
  <si>
    <t>Alvarez, Cla</t>
  </si>
  <si>
    <t>edgar.aguilar@aptiv.com</t>
  </si>
  <si>
    <t>alma.velez.m@aptiv.com</t>
  </si>
  <si>
    <t>laura.idalia.martinez@aptiv.com</t>
  </si>
  <si>
    <t>Erik.Manuel.Reyes@aptiv.com</t>
  </si>
  <si>
    <t>nicole.hartill@aptiv.com</t>
  </si>
  <si>
    <t>esmeralda.canas@aptiv.com</t>
  </si>
  <si>
    <t>pablo.alonso.huizar@aptiv.com</t>
  </si>
  <si>
    <t>edson.i.avila@aptiv.com</t>
  </si>
  <si>
    <t>blanca.rios@aptiv.com</t>
  </si>
  <si>
    <t>Juan.Alvarez@aptiv.com</t>
  </si>
  <si>
    <t>james.cook@aptiv.com</t>
  </si>
  <si>
    <t>gabriela.simental@aptiv.com</t>
  </si>
  <si>
    <t>Mayra.Hernandez@aptiv.com</t>
  </si>
  <si>
    <t>yulisa.quiroz@aptiv.com</t>
  </si>
  <si>
    <t>wojciech.krajewski@aptiv.com</t>
  </si>
  <si>
    <t>john.pechatsko.2@aptiv.com</t>
  </si>
  <si>
    <t>lorne.lince@aptiv.com</t>
  </si>
  <si>
    <t>glenn.robison@aptiv.com</t>
  </si>
  <si>
    <t>greg.kosec@aptiv.com</t>
  </si>
  <si>
    <t>ryan.kirkpatrick@aptiv.com</t>
  </si>
  <si>
    <t>lesly.jassel.meza@aptiv.com</t>
  </si>
  <si>
    <t>terry.george@aptiv.com</t>
  </si>
  <si>
    <t>lorenzo.ramirez@aptiv.com</t>
  </si>
  <si>
    <t>rajeev.upadhye@aptiv.com</t>
  </si>
  <si>
    <t>luis.alonso.rosales@aptiv.com</t>
  </si>
  <si>
    <t>dulce.gonzalez-garcia@aptiv.com</t>
  </si>
  <si>
    <t>brenda.lizeth.hernandez@aptiv.com</t>
  </si>
  <si>
    <t>maria.del.carmen.hernandez.2@aptiv.com</t>
  </si>
  <si>
    <t>adriana.mata@aptiv.com</t>
  </si>
  <si>
    <t>abigail.alvarado@aptiv.com</t>
  </si>
  <si>
    <t>jon.e.best@aptiv.com</t>
  </si>
  <si>
    <t>luzma.miller@aptiv.com</t>
  </si>
  <si>
    <t>maria.emilia.perez@aptiv.com</t>
  </si>
  <si>
    <t>rachel.rexford@aptiv.com</t>
  </si>
  <si>
    <t>greisy.perdomo@aptiv.com</t>
  </si>
  <si>
    <t>myriam.guerrero@aptiv.com</t>
  </si>
  <si>
    <t>Janneth.Jackeline.Salas@aptiv.com</t>
  </si>
  <si>
    <t>rene.orlando.avila@aptiv.com</t>
  </si>
  <si>
    <t>mayra.rios.briseno@aptiv.com</t>
  </si>
  <si>
    <t>Faviola.Ramon.Escamilla@aptiv.com</t>
  </si>
  <si>
    <t>gustavo.sanchez.2@aptiv.com</t>
  </si>
  <si>
    <t>gabriel.ramon.rodriguez@aptiv.com</t>
  </si>
  <si>
    <t>daniela.jaramillo@aptiv.com</t>
  </si>
  <si>
    <t>Anastasia.Mioto@aptiv.com</t>
  </si>
  <si>
    <t>mauricio.ignacio.ruiz@aptiv.com</t>
  </si>
  <si>
    <t>luis.flores@aptiv.com</t>
  </si>
  <si>
    <t>yesenia.guadalupe.navarro@aptiv.com</t>
  </si>
  <si>
    <t>jason.b.white@aptiv.com</t>
  </si>
  <si>
    <t>ruben.avila@aptiv.com</t>
  </si>
  <si>
    <t>Edoardo.G.Carrasco@aptiv.com</t>
  </si>
  <si>
    <t>nicholas.a.durse@aptiv.com</t>
  </si>
  <si>
    <t>Eder.Josue.Altamirano@aptiv.com</t>
  </si>
  <si>
    <t>jorge.daniel.ponce.bravo@aptiv.com</t>
  </si>
  <si>
    <t>Monica.Natalia.Amaro@aptiv.com</t>
  </si>
  <si>
    <t>carlos.garcia.ronquillo@aptiv.com</t>
  </si>
  <si>
    <t>kurt.seifert@aptiv.com</t>
  </si>
  <si>
    <t>peter.1.welter@aptiv.com</t>
  </si>
  <si>
    <t>tim.morse@aptiv.com</t>
  </si>
  <si>
    <t>nicholas.leggieri@aptiv.com</t>
  </si>
  <si>
    <t>Katia.Lariza.Perdomo@aptiv.com</t>
  </si>
  <si>
    <t>cesar.escobedo@aptiv.com</t>
  </si>
  <si>
    <t>carlos8.dominguez@aptiv.com</t>
  </si>
  <si>
    <t>robert.d.carter@aptiv.com</t>
  </si>
  <si>
    <t>hilda.santos@aptiv.com</t>
  </si>
  <si>
    <t>marioeduardo.rodriguez@aptiv.com</t>
  </si>
  <si>
    <t>kevin.m.johnson@aptiv.com</t>
  </si>
  <si>
    <t>Leonardo.Alejandro.Ramirez@aptiv.com</t>
  </si>
  <si>
    <t>rene.arellano.2@aptiv.com</t>
  </si>
  <si>
    <t>gerhaldy.campos@aptiv.com</t>
  </si>
  <si>
    <t>amy.chen@aptiv.com</t>
  </si>
  <si>
    <t>Maria.Fernanda.Diaz@aptiv.com</t>
  </si>
  <si>
    <t>Emmanuel.Madrid@aptiv.com</t>
  </si>
  <si>
    <t>Rebeca.Sanchez@aptiv.com</t>
  </si>
  <si>
    <t>paola.trevino@aptiv.com</t>
  </si>
  <si>
    <t>jesus.uriel.ruiz@aptiv.com</t>
  </si>
  <si>
    <t>Aaron.Edmundo.Pena@aptiv.com</t>
  </si>
  <si>
    <t>cristopher.carbajal@aptiv.com</t>
  </si>
  <si>
    <t>citlaly.abadia@aptiv.com</t>
  </si>
  <si>
    <t>nicholas.ammeen@aptiv.com</t>
  </si>
  <si>
    <t>erin.b.aguilar@aptiv.com</t>
  </si>
  <si>
    <t>ruben.musso@aptiv.com</t>
  </si>
  <si>
    <t>claudia.ivette.alvarez@aptiv.com</t>
  </si>
  <si>
    <t>Nombre</t>
  </si>
  <si>
    <t>Correo</t>
  </si>
  <si>
    <t>Requisitioner</t>
  </si>
  <si>
    <t>Garcia, Rube</t>
  </si>
  <si>
    <t>VC</t>
  </si>
  <si>
    <t>VENDOR NAME</t>
  </si>
  <si>
    <t>DUNS</t>
  </si>
  <si>
    <t>CORREO</t>
  </si>
  <si>
    <t>DONGGUAN BONDI PLASTIC AND METAL MA</t>
  </si>
  <si>
    <t>william_mak@viko.com.hk</t>
  </si>
  <si>
    <t>HELLERMANNTYTON CORPORATION</t>
  </si>
  <si>
    <t>PARKER HANNIFIN DE MEXICO, S.A. DE</t>
  </si>
  <si>
    <t>gerardo.andrade@parker.com</t>
  </si>
  <si>
    <t>R.L. HUDSON &amp; COMPANY</t>
  </si>
  <si>
    <t>keifer.cole@rlhudson.com</t>
  </si>
  <si>
    <t>APTIV SERVICES US, LLC</t>
  </si>
  <si>
    <t>Michelle.L.Chadwick@aptiv.com</t>
  </si>
  <si>
    <t>WKK TECHNOLOGY LIMITED</t>
  </si>
  <si>
    <t>GG CABLES AND WIRES MEXICO, S. DE R</t>
  </si>
  <si>
    <t>A.Cruz2@gg-group.com</t>
  </si>
  <si>
    <t>KING-GOOD JIANGXI INTELLIGENT MANUF</t>
  </si>
  <si>
    <t>Brad.E.Slaughter@aptiv.com;jim_pan@king-good.com;sale09_jx@king-good.com</t>
  </si>
  <si>
    <t>WAN SHUN (HK) ELECTRONIC TECHNOLOGY</t>
  </si>
  <si>
    <t>Stanley.leung@wanshun.com.hk</t>
  </si>
  <si>
    <t>SOLUTION TOOLS MOLD &amp; DIE, INC.</t>
  </si>
  <si>
    <t>jdpalma@solution-tools.com; julia@solution-tools.com; quotes@solution-tools.com</t>
  </si>
  <si>
    <t>WPSY LTD</t>
  </si>
  <si>
    <t>yining.wang@wpsy.com.cn</t>
  </si>
  <si>
    <t>INDUSTRIES UNLIMITED, INCORPORATED</t>
  </si>
  <si>
    <t>iuiproto@sbcglobal.net</t>
  </si>
  <si>
    <t>ARRK NORTH AMERICA, INC</t>
  </si>
  <si>
    <t>jgabriel@arrk.com</t>
  </si>
  <si>
    <t>CENTURY MOLD MEXICO, S. DE R.L. DE</t>
  </si>
  <si>
    <t>c.lerma@centurymold.com</t>
  </si>
  <si>
    <t>SUZHOU YUANYE AUTOMOTIVE TECHNOLOGY</t>
  </si>
  <si>
    <t xml:space="preserve">zhaoqixiang@szjunchuang.com </t>
  </si>
  <si>
    <t>AMPHENOL-KAI JACK (SHENZHEN) INC.</t>
  </si>
  <si>
    <t>amy.bi@amphenolrfa.com</t>
  </si>
  <si>
    <t>LEONI CABLE, S.A. DE C.V.</t>
  </si>
  <si>
    <t>karina.gutierrez@leoni.com</t>
  </si>
  <si>
    <t>UNIMETAL SURFACE FINISHING, LLC</t>
  </si>
  <si>
    <t>djurasek@unimetal.com</t>
  </si>
  <si>
    <t>APTIV CONTRACT SERVICES TIJUANA, S.</t>
  </si>
  <si>
    <t>Diana.Guillermina.Zuniga@aptiv.com;oscar.molinero@aptiv.com;juan.m.alderete-alejo@aptiv.com;isabel.navarro@aptiv.com</t>
  </si>
  <si>
    <t>LEAR CORPORATION GMBH</t>
  </si>
  <si>
    <t>AWeihrauch@lear.com</t>
  </si>
  <si>
    <t>denise.lippman@amphenol.de;Tobias.Buergler@amphenol.de;nathalie.brux@amphenol-automotive.de;Celine.Flotta@amphenol.de</t>
  </si>
  <si>
    <t>GUANGDONG ELLINGTON ELECTRONICS TEC</t>
  </si>
  <si>
    <t>Cherry.Chen@ellingtonpcb.com</t>
  </si>
  <si>
    <t>TE CONNECTIVITY GERMANY GMBH</t>
  </si>
  <si>
    <t>daniel.calles@te.comCalles, Daniel;BDPETRID@te.com</t>
  </si>
  <si>
    <t>a.cruz2@gg-group.com</t>
  </si>
  <si>
    <t>PULSE ELECTRONICS (SINGAPORE) PTE L</t>
  </si>
  <si>
    <t>Allison.Li@yageo.com</t>
  </si>
  <si>
    <t>PTR TOOL &amp; PLASTICS, LLC</t>
  </si>
  <si>
    <t>Alan Endicott &lt;aendicott@ptrgroup-mfg.com&gt;; PTR Sales &lt;PTRSales@ptrtoolandplastics.com&gt;</t>
  </si>
  <si>
    <t>LITTELFUSE, INC.</t>
  </si>
  <si>
    <t>Alex Angeles &lt;AAngeles@Littelfuse.com&gt;</t>
  </si>
  <si>
    <t>EUROTECH DISTRIBUTORS, INC.</t>
  </si>
  <si>
    <t xml:space="preserve">amalia@eurotechdirect.com </t>
  </si>
  <si>
    <t>WAUCONDA TOOL &amp; ENGINEERING LLC</t>
  </si>
  <si>
    <t>SIMTEC SILICONE PARTS, LLC</t>
  </si>
  <si>
    <t>Andrew.Vasconcellos@Simtec-silicone.com</t>
  </si>
  <si>
    <t>COFICAB SAN PEDRO SULA S. DE R.L.</t>
  </si>
  <si>
    <t>bryan.dubon@coficab.com</t>
  </si>
  <si>
    <t>SA AMD DECOLLETAGE</t>
  </si>
  <si>
    <t>b.digard@amd-decolletage.fr</t>
  </si>
  <si>
    <t>APTIV CONNECTION SYSTEMS INDIA PRIV</t>
  </si>
  <si>
    <t xml:space="preserve">binu.joy@aptiv.com; ashish.burkhe@aptiv.com; &lt;ishu.chaudhary@aptiv.com&gt;; Kannojia, Saurabh &lt;saurabh.kannojia@aptiv.com; pooja.kale@aptiv.com&gt;; </t>
  </si>
  <si>
    <t>FOUR-SLIDE TECHNOLOGY, INC.</t>
  </si>
  <si>
    <t>Brian Lamphier &lt;blamphier@four-slide.com&gt;</t>
  </si>
  <si>
    <t>CENTER OF DESIGN &amp; MACHINING CORP.</t>
  </si>
  <si>
    <t>cdmcorp2013@gmail.com</t>
  </si>
  <si>
    <t>TE CONNECTIVITY CORPORATION</t>
  </si>
  <si>
    <t>Fiskars, Michelle &lt;michelle.fiskars@te.com&gt;; Petrides, Brian D &lt;BDPETRID@te.com; judith.valle@te.com</t>
  </si>
  <si>
    <t>SEMICONDUCTOR HYBRID ASSEMBLY, INC.</t>
  </si>
  <si>
    <t>corey@shainc.net</t>
  </si>
  <si>
    <t>CFligger@htamericas.com</t>
  </si>
  <si>
    <t>APTIV ELECTRICAL CENTERS SHANGHAI</t>
  </si>
  <si>
    <t>COMPOSIDIE, INC.</t>
  </si>
  <si>
    <t>ckirkpatrick@composidie.com</t>
  </si>
  <si>
    <t>SOPRINJEC</t>
  </si>
  <si>
    <t>david.fineschi@soprinjec.fr</t>
  </si>
  <si>
    <t>CORCOM, S.A. DE C.V.</t>
  </si>
  <si>
    <t>daniel.calles@te.com;BDPETRID@te.com</t>
  </si>
  <si>
    <t>BEYONICS PRECISION (MALAYSIA) SDN.</t>
  </si>
  <si>
    <t>durlovsarma@sg.beyonics.com</t>
  </si>
  <si>
    <t>ROYAL DIE &amp; STAMPING, LLC</t>
  </si>
  <si>
    <t>JanetJazdzewski@Eaton.com</t>
  </si>
  <si>
    <t>WIELAND METAL SERVICES, S.A. DE C.V</t>
  </si>
  <si>
    <t>Fernando.alvarado@wieland.com</t>
  </si>
  <si>
    <t>ACI MEXICO AUTOMOTIVE COMPOUNDING I</t>
  </si>
  <si>
    <t>edgar.alexandre@aci.com.pt</t>
  </si>
  <si>
    <t>R.P.M CO., LTD</t>
  </si>
  <si>
    <t>EJin.nguyen@rpm-kr.com</t>
  </si>
  <si>
    <t>A. RAYMOND TINNERMAN AUTOMOTIVE MEX</t>
  </si>
  <si>
    <t>eric.pokoyoway@araymond.com</t>
  </si>
  <si>
    <t>CAPLUGS, INC.</t>
  </si>
  <si>
    <t>Fernandez, Hiram &lt;Hiram.Fernandez@Caplugs.com&gt;</t>
  </si>
  <si>
    <t>EBERHARD AG AUTOMATIONS- UND MONTAG</t>
  </si>
  <si>
    <t>ggeissler@eberhard-ag.com</t>
  </si>
  <si>
    <t>APTIV GLOBAL OPERATIONS LTD.</t>
  </si>
  <si>
    <t>Fu, Ruiyuan &lt;ruiyuan.fu@aptiv.com&gt;</t>
  </si>
  <si>
    <t>TTI, INC.</t>
  </si>
  <si>
    <t>Gando, Jamileth &lt;Jamileth.Gando@ttiinc.com&gt; Arroyo, Rene &lt;Rene.Arroyo@ttiinc.com&gt;</t>
  </si>
  <si>
    <t>WOCO TECH USA, INC.</t>
  </si>
  <si>
    <t>gmendez@mx.wocogroup.com</t>
  </si>
  <si>
    <t>ROBIN INDUSTRIES (XIAMEN) CO., LTD.</t>
  </si>
  <si>
    <t>jnorris@norris-sales.com</t>
  </si>
  <si>
    <t>WOCO AUTOMOTIVE POLYMER SYSTEMS DE</t>
  </si>
  <si>
    <t>gmendez@mx.wocogroup.com; ptomecek@us.wocogroup.com</t>
  </si>
  <si>
    <t>RELATS MEXICO, S.A. DE C.V.</t>
  </si>
  <si>
    <t xml:space="preserve">hmacias@relats.com;                        fleyva@relats.com </t>
  </si>
  <si>
    <t>APTIV INTL OPS LUXEMBOURG HONDURAS</t>
  </si>
  <si>
    <t>Hongting.Cheng@aptiv.com; hao.xing@aptiv.com; antony.li@aptiv.com</t>
  </si>
  <si>
    <t>MACARTHUR LLC</t>
  </si>
  <si>
    <t>Horacio.Quiroga@macarthurcorp.com</t>
  </si>
  <si>
    <t>APTIV SERVICES 3 (US), LLC</t>
  </si>
  <si>
    <t>ELASTOMEROS TECNICOS MOLDEADOS, INC</t>
  </si>
  <si>
    <t>jberry@parkohioproducts.com; Koniski, John &lt;John.koniski@pkoh-ac.com&gt;</t>
  </si>
  <si>
    <t>YAZAKI NORTH AMERICA, INC.</t>
  </si>
  <si>
    <t>Jeannine Rintala &lt;jeannine.rintala@us.yazaki.com&gt;; Marc Mariani &lt;marc.mariani@us.yazaki.com&gt;</t>
  </si>
  <si>
    <t>TAC MATERIALS, INC.</t>
  </si>
  <si>
    <t>Jesús García &lt;jgarcia@qco.net&gt;</t>
  </si>
  <si>
    <t>Q SEALS DE MEXICO, S. DE R.L. DE C.</t>
  </si>
  <si>
    <t>PARK-OHIO PRODUCTS, INC.</t>
  </si>
  <si>
    <t>john.koniski@pkoh-ac.com</t>
  </si>
  <si>
    <t>ACCUDYN DE MEXICO, S. DE R.L. DE C.</t>
  </si>
  <si>
    <t xml:space="preserve">jnorris@norris-sales.com ; plink@norris-sales.com </t>
  </si>
  <si>
    <t>ROBIN INDUSTRIES, INC.</t>
  </si>
  <si>
    <t xml:space="preserve">jnorris@norris-sales.com; plink@norris-sales.com </t>
  </si>
  <si>
    <t>DURA AUTOMOTIVE SYSTEMS</t>
  </si>
  <si>
    <t>Joe Korona &lt;korona.j@duraauto.com&gt;</t>
  </si>
  <si>
    <t>JULIAN ELECTRIC DE MEXICO S. DE R.L</t>
  </si>
  <si>
    <t>John Julian &lt;johnjulian@julianelectric.com&gt;</t>
  </si>
  <si>
    <t>ARNESES ELECTRICOS AUTOMOTRICES, S.</t>
  </si>
  <si>
    <t xml:space="preserve">juanr@condumex.com.mx;nrodriguez@condumex.com.mx
</t>
  </si>
  <si>
    <t>SMALLEY STEEL RING CO.</t>
  </si>
  <si>
    <t>joshuah@smalley.com</t>
  </si>
  <si>
    <t>DLHBOWLES, INC.</t>
  </si>
  <si>
    <t>jwashburn@dlhbowles.com</t>
  </si>
  <si>
    <t>SUMITOMO ELECTRIC WIRING SYSTEMS, I</t>
  </si>
  <si>
    <t>Karen Dumas &lt;k.dumas@us.sws.co.jp&gt;;Sean Barlett &lt;S.Barlett@US.SWS.CO.JP&gt;; Karina Betancourt &lt;k.betancourt@us.sws.co.jp&gt;</t>
  </si>
  <si>
    <t>TSP PRECISION TOOLING CO., LTD.</t>
  </si>
  <si>
    <t>lily.yu@sztianlin.com</t>
  </si>
  <si>
    <t>VIKO INDUSTRIES LIMITED</t>
  </si>
  <si>
    <t>Lucia &lt;shipping6@viko.com.hk&gt;</t>
  </si>
  <si>
    <t>FEDERAL-MOGUL POWERTRAIN LLC</t>
  </si>
  <si>
    <t>SMT L.L.C.</t>
  </si>
  <si>
    <t>m2buchmann@smtllcgroup.com</t>
  </si>
  <si>
    <t>HIRSCHMANN AUTOMOTIVE MEXICO, S DE</t>
  </si>
  <si>
    <t>Martinez Cueto Madelin Paola &lt;Madelin.Martinez@mx.hirschmann-automotive.com&gt;</t>
  </si>
  <si>
    <t>TRANSMAQ CO.</t>
  </si>
  <si>
    <t>mary.valdez@transmaq.com</t>
  </si>
  <si>
    <t>HOPEFUL RUBBER MANUFACTURING CO. LI</t>
  </si>
  <si>
    <t>matilda_xiao@hopefulrubber.com; jmfautomotive@hotmail.com</t>
  </si>
  <si>
    <t>AMP AMERMEX, S.A. DE C.V.</t>
  </si>
  <si>
    <t>michelle.fiskars@te.com</t>
  </si>
  <si>
    <t>COFICAB LEON, S. DE R.L. DE C.V.</t>
  </si>
  <si>
    <t>montserrat.romo@coficab.com</t>
  </si>
  <si>
    <t>COOPER ROLLED PRODUCTS INC.</t>
  </si>
  <si>
    <t>nmarchi@cooperplating.com</t>
  </si>
  <si>
    <t>AEES POWER SYSTEMS LIMITED PARTNERS</t>
  </si>
  <si>
    <t>paty.pereda@pkcgroup.com  Stacy.Todd@Motherson.com  nasalesadmin@pkcgroup.com</t>
  </si>
  <si>
    <t>AEES INC.</t>
  </si>
  <si>
    <t>paty.pereda@pkcgroup.com;Stacy.Todd@Motherson.com;nasalesadmin@pkcgroup.com</t>
  </si>
  <si>
    <t>PREMIER PRODUCTION SERVICE INDUSTRI</t>
  </si>
  <si>
    <t>psi1226@rrbiznet.com</t>
  </si>
  <si>
    <t>PENN ENGINEERING &amp; MANUFACTURING CO</t>
  </si>
  <si>
    <t>RDeVoe@pemnet.com</t>
  </si>
  <si>
    <t>PRYSMIAN CABLES AND SYSTEMS USA, LL</t>
  </si>
  <si>
    <t>Rebecca.Heacox@prysmiangroup.com</t>
  </si>
  <si>
    <t>GILANYI ENGINEERING AND MANUFACTURI</t>
  </si>
  <si>
    <t>rgilanyi@gilanyi.com</t>
  </si>
  <si>
    <t>WESTERN DIVERSIFIED PLASTICS, L.L.C</t>
  </si>
  <si>
    <t>Robin Stacey &lt;Robin.Stacey@westerndp.com&gt;</t>
  </si>
  <si>
    <t>HONG KONG KECHENDA ELECTRONIC CO. L</t>
  </si>
  <si>
    <t>sales@kechtronic.com</t>
  </si>
  <si>
    <t>LEADING TECHNOLOGIES, INC.</t>
  </si>
  <si>
    <t>scasperson@composidie.com</t>
  </si>
  <si>
    <t>MD ELEKTRONIK DE MEXICO, S. DE R.L.</t>
  </si>
  <si>
    <t>Schmidt Myke &lt;Myke.Schmidt@md-electronics.com&gt;; Angelika.Knoblauch@md-elektronik.mx;</t>
  </si>
  <si>
    <t>DELFINGEN MX-COAHUILA, S. DE R.L. D</t>
  </si>
  <si>
    <t>smedina@delfingen.com</t>
  </si>
  <si>
    <t>DELFINGEN US-TEXAS, L.P.</t>
  </si>
  <si>
    <t>APTIV CONNECTION SYSTEMS HUNGARY KO</t>
  </si>
  <si>
    <t>sylwia.radzieta@aptiv.com</t>
  </si>
  <si>
    <t>APTIV SERVICES DEUTSCHLAND GMBH</t>
  </si>
  <si>
    <t>APTIV MOBILITY SERVICES DOO</t>
  </si>
  <si>
    <t>tamara.kopic@aptiv.com; djuro.babic@aptiv.com</t>
  </si>
  <si>
    <t>FAWN-NEWTEC LIMITED</t>
  </si>
  <si>
    <t>tim@newtec.com.hk</t>
  </si>
  <si>
    <t>MINNESOTA RUBBER MEXICO, S. DE R.L.</t>
  </si>
  <si>
    <t>roger.peet@trelleborg.com</t>
  </si>
  <si>
    <t>SERENDIPITY ELECTRONICS, INC.</t>
  </si>
  <si>
    <t>Vanessa@SerendipityElectronics.com</t>
  </si>
  <si>
    <t>TAITECH PRECISION ELECTRONIC (KUNSH</t>
  </si>
  <si>
    <t>wangjianli@memtechchina.com</t>
  </si>
  <si>
    <t>APTIV ELECTRIC SYSTEMS COMPANY LIMI</t>
  </si>
  <si>
    <t>wenhao.cai@aptiv.com</t>
  </si>
  <si>
    <t>APTIV CONNECTION SYSTEMS NANTONG</t>
  </si>
  <si>
    <t xml:space="preserve">&lt;julie.zhu@aptiv.com&gt; </t>
  </si>
  <si>
    <t>APTIV ELECTRIC SYSTEMS CO.,LTD.WUHA</t>
  </si>
  <si>
    <t>Yuki.Li@aptiv.com</t>
  </si>
  <si>
    <t>BEYONICS TECHNOLOGY ELECTRONIC (CHA</t>
  </si>
  <si>
    <t>zhuyp@cn.beyonics.com</t>
  </si>
  <si>
    <t>LRB TOOL &amp; DIE LTD.</t>
  </si>
  <si>
    <t>sales@lrbtool.com</t>
  </si>
  <si>
    <t>aangeles@littelfuse.com</t>
  </si>
  <si>
    <t>SONG CHUAN PRECISION AMERICAS INC</t>
  </si>
  <si>
    <t>Aline.Desouza@SCPA.net</t>
  </si>
  <si>
    <t>HELLERMANNTYTON MANUFACTURAS S. DE</t>
  </si>
  <si>
    <t>clast@htamericas.com</t>
  </si>
  <si>
    <t>THYSSENKRUPP INDUSTRIAL</t>
  </si>
  <si>
    <t xml:space="preserve"> hector.saavedra@thyssenkrupp-materials</t>
  </si>
  <si>
    <t>KA SHUI MANUFACTORY CO. LIMITED</t>
  </si>
  <si>
    <t>hope.zhou@kashui.com</t>
  </si>
  <si>
    <t>ODU MEXICO MANUFACTURING, S. DE R.L</t>
  </si>
  <si>
    <t>MOLEX, LLC</t>
  </si>
  <si>
    <t>AMPHENOL TECVOX LLC</t>
  </si>
  <si>
    <t>maria.ardal@tecvox.com</t>
  </si>
  <si>
    <t>SHENZHOU YADONG RUBBER FACTORY</t>
  </si>
  <si>
    <t>yuan.hong@yadongxj.com</t>
  </si>
  <si>
    <t>REGENCY PLASTICS - UBLY, INC.</t>
  </si>
  <si>
    <t>AGonzalez@geminigroup.net</t>
  </si>
  <si>
    <t>ROSENBERGER HOCHFREQUENZTECHNIK GMB</t>
  </si>
  <si>
    <t>Thomas.Ricker@rosenberger.com</t>
  </si>
  <si>
    <t>CENTRO TECNICO HERRAMENTAL, S. DE R</t>
  </si>
  <si>
    <t>AEES MANUFACTURERA, S. DE R.L. DE C</t>
  </si>
  <si>
    <t>brandy.armstrong@motherson.com</t>
  </si>
  <si>
    <t>HARD TO FIND INTERNATIONAL, INC.</t>
  </si>
  <si>
    <t>&lt;atorre@htfintl.com&gt;</t>
  </si>
  <si>
    <t>VELCRO USA INC.</t>
  </si>
  <si>
    <t>jgola@velcro.com</t>
  </si>
  <si>
    <t>METAL FLOW CORPORATION</t>
  </si>
  <si>
    <t>rds@metalflow.com</t>
  </si>
  <si>
    <t>CONDUMEX S.A. DE C.V.</t>
  </si>
  <si>
    <t>mramirez@condumex.com.mx;j.montes2@condumex.com.mx</t>
  </si>
  <si>
    <t>COROPLAST TAPE CORPORATION</t>
  </si>
  <si>
    <t>Jacob.Blair@coroplast-tape</t>
  </si>
  <si>
    <t>Jessica.Tovar@md-elektronik.mx</t>
  </si>
  <si>
    <t>jose.ramirez1@molex.com; Lauraberenice.mendez@molex.com</t>
  </si>
  <si>
    <t>Pgroup</t>
  </si>
  <si>
    <t>nombre</t>
  </si>
  <si>
    <t>correo</t>
  </si>
  <si>
    <t>Munoz, Cesar</t>
  </si>
  <si>
    <t>Garcia, Emma</t>
  </si>
  <si>
    <t>emma.garcia@aptiv.com</t>
  </si>
  <si>
    <t>cesar.adrian.munoz@aptiv.com</t>
  </si>
  <si>
    <t>PR</t>
  </si>
  <si>
    <t>VENDOR</t>
  </si>
  <si>
    <t>TRACK #</t>
  </si>
  <si>
    <t>PRGOUP</t>
  </si>
  <si>
    <t>REQUESITIONER</t>
  </si>
  <si>
    <t>REQ.MAIL</t>
  </si>
  <si>
    <t>VENDOR MAIL</t>
  </si>
  <si>
    <t>comentario</t>
  </si>
  <si>
    <t>1000RYY8</t>
  </si>
  <si>
    <t>1000S6UQ</t>
  </si>
  <si>
    <t>1000S15B</t>
  </si>
  <si>
    <t>1000S6Q8</t>
  </si>
  <si>
    <t>1000S6SE</t>
  </si>
  <si>
    <t>1000S5BS</t>
  </si>
  <si>
    <t>1000S5C8</t>
  </si>
  <si>
    <t>1000S5TC</t>
  </si>
  <si>
    <t>1000S3DW</t>
  </si>
  <si>
    <t>Clark, Justi</t>
  </si>
  <si>
    <t>xp</t>
  </si>
  <si>
    <t>INTERNATIONAL PLATING SERVICE LLC</t>
  </si>
  <si>
    <t>jgarcia@platinadorabaja.com</t>
  </si>
  <si>
    <t>Teresa.Saunders@henkel.com</t>
  </si>
  <si>
    <t>HENKEL US OPERATIONS CORPORATION</t>
  </si>
  <si>
    <t>Volex (Batam)</t>
  </si>
  <si>
    <t xml:space="preserve">amber.ferguson@volex.com </t>
  </si>
  <si>
    <t>justin.clark@aptiv.com</t>
  </si>
  <si>
    <t xml:space="preserve">k-p.kuriakose@aptiv.com </t>
  </si>
  <si>
    <t>v3 grid cord tooling</t>
  </si>
  <si>
    <t>COV CHAN  BLK</t>
  </si>
  <si>
    <t>MOUN BRACKET  BLK</t>
  </si>
  <si>
    <t>Pago de servicio de 13737074</t>
  </si>
  <si>
    <t>Pago de servicio a 33352533-SAM y 333525</t>
  </si>
  <si>
    <t>ASM TERM  F 6.3   4.8 MCP SN SEALED</t>
  </si>
  <si>
    <t>PN 35383013</t>
  </si>
  <si>
    <t>Expedite Fee -  33205586 - 33205585</t>
  </si>
  <si>
    <t>M8745VFX 70mm2 Cable ~ Stellantis</t>
  </si>
  <si>
    <t>hope.zhou@kashui.com; mark.guo@kashui.com</t>
  </si>
  <si>
    <t>KUNSHAN LIPU ELECTRONIC RUBBER CO.,</t>
  </si>
  <si>
    <t>SHANGHAI KANGSUO AUTO ELECTRIC TECH</t>
  </si>
  <si>
    <t>SHANGHAI ZHONGAN ELECTRIC PLASTIC C</t>
  </si>
  <si>
    <t>AY DEE KAY LLC</t>
  </si>
  <si>
    <t>AVNET DE MEXICO, S.A. DE C.V.</t>
  </si>
  <si>
    <t>MINIMOLD SPA</t>
  </si>
  <si>
    <t>IGUS BEARINGS, INC.</t>
  </si>
  <si>
    <t>XIAMEN HONGFA ELECTROACOUSTIC CO.,</t>
  </si>
  <si>
    <t>CORDAFLEX, S.A. DE C.V.</t>
  </si>
  <si>
    <t>SILIKO D.O.O.</t>
  </si>
  <si>
    <t>SONG CHUAN PRECISION CO., LTD. CHIA</t>
  </si>
  <si>
    <t>APTIV SERVICES AUSTRIA GPD. GMBH &amp;</t>
  </si>
  <si>
    <t>KOSTAL KONTAKT SYSTEME GMBH &amp; CO. K</t>
  </si>
  <si>
    <t>DRM DRAXLMAIER ROMANIA SISTEME ELEC</t>
  </si>
  <si>
    <t>LEAR CORPORATION CZECH REPUBLIC S.R</t>
  </si>
  <si>
    <t>HENAN THB ELECTRIC CO., LTD.</t>
  </si>
  <si>
    <t>APTIV SERVICES 2 FRANCE SAS</t>
  </si>
  <si>
    <t>FEP FAHRZEUGELEKTRIK PIRNA GMBH &amp; C</t>
  </si>
  <si>
    <t>RAMCO SPECIALTIES, INC.</t>
  </si>
  <si>
    <t>CHIEF ENTERPRISES MEXICO, S. DE R.L</t>
  </si>
  <si>
    <t>APTIV CONNECTION SYSTEMS SERVICES I</t>
  </si>
  <si>
    <t>BLOVELIGHT (GUANGDONG) INTELLIGENT</t>
  </si>
  <si>
    <t>COFICAB MX, S. DE R.L. DE C.V.</t>
  </si>
  <si>
    <t>KUM LLC</t>
  </si>
  <si>
    <t>HIROSEKOREA CO.,LTD.</t>
  </si>
  <si>
    <t>CHIEF ENTERPRISES, LLC</t>
  </si>
  <si>
    <t>ROSENBERGER AUTOMOTIVE CABLING KORL</t>
  </si>
  <si>
    <t>APTIV S&amp;P MOBILITY SERVICES SPAIN S</t>
  </si>
  <si>
    <t>UNICONNECTION</t>
  </si>
  <si>
    <t>AMPHENOL TECHNOLOGY (ZHUHAI) CO., L</t>
  </si>
  <si>
    <t>ENGINEERED FASTENER COMPANY, LLC</t>
  </si>
  <si>
    <t>TOYOTA TSUSHO CORPORATION</t>
  </si>
  <si>
    <t>HELLERMANNTYTON GMBH</t>
  </si>
  <si>
    <t>APTIV CONNECTION SYSTEMS KOREA LLC</t>
  </si>
  <si>
    <t>SUMITOMO WIRING SYSTEMS, LTD.</t>
  </si>
  <si>
    <t>JUDD WIRE INC</t>
  </si>
  <si>
    <t>ROSENBERGER ASIA PACIFIC ELECTRONIC</t>
  </si>
  <si>
    <t>AGS TECHNOLOGY, INC.</t>
  </si>
  <si>
    <t>CENTURY PLASTICS</t>
  </si>
  <si>
    <t>CONNOR MANUFACTURING SERVICE (KUSHA</t>
  </si>
  <si>
    <t>MD ELEKTRONIK SPOL. S R.O.</t>
  </si>
  <si>
    <t>APTIV MANUFATURA E SERVICOS DE DIST</t>
  </si>
  <si>
    <t>CORDAFLEX SA DE CV</t>
  </si>
  <si>
    <t>OMEGA WIRE, INC.</t>
  </si>
  <si>
    <t>ROSENBERGER MEXICO, S.A. DE C.V.</t>
  </si>
  <si>
    <t>PRECISION STAMPINGS SOLUTIONS INC.</t>
  </si>
  <si>
    <t>AURUBIS BUFFALO, INC.</t>
  </si>
  <si>
    <t>ITW FASTENER PRODUCTS GMBH</t>
  </si>
  <si>
    <t>ERICH JAEGER GMBH  CO.KG</t>
  </si>
  <si>
    <t>APTIV SERVICES (IRELAND) LIMITED</t>
  </si>
  <si>
    <t>AUTO-KABEL HARNESS (TAICANG) CO., L</t>
  </si>
  <si>
    <t>TYCO ELECTRONICS TECNOLOGIAS, S. DE</t>
  </si>
  <si>
    <t>HUBERSUHNER CABLE &amp; CONNECTOR MANUF</t>
  </si>
  <si>
    <t>INPAQ TECHNOLOGY CO., LTD. CHUNAN B</t>
  </si>
  <si>
    <t>HIRSCHMANN AUTOMOTIVE GMBH</t>
  </si>
  <si>
    <t>AMPHENOL CORPORATION</t>
  </si>
  <si>
    <t>LADD DISTRIBUTION LLC</t>
  </si>
  <si>
    <t>PT. VOLEX INDONESIA</t>
  </si>
  <si>
    <t>SPIROL MEXICO, S.A. DE C.V.</t>
  </si>
  <si>
    <t>WIELAND METALS, INC.</t>
  </si>
  <si>
    <t>PACKARD KOREA INC.</t>
  </si>
  <si>
    <t>BELDEN INC.</t>
  </si>
  <si>
    <t>LEONI CABLE, INC.</t>
  </si>
  <si>
    <t>BELDEN HIRSCHMANN INDUSTRIES (SUZHO</t>
  </si>
  <si>
    <t>PRYSMIAN KABEL UND SYSTEME GMBH</t>
  </si>
  <si>
    <t>CONDUMEX, S.A. DE C.V.</t>
  </si>
  <si>
    <t>UNITED ELECTRIC WIRE (KUNSHAN) CO.,</t>
  </si>
  <si>
    <t>CHAMPLAIN CABLE CORPORATION</t>
  </si>
  <si>
    <t>TE CONNECTIVITY HK LIMITED</t>
  </si>
  <si>
    <t>STANLEY ENGINEERED FASTENING LLC</t>
  </si>
  <si>
    <t>DONGGUAN PINDUAN PRECISE PLASTIC HA</t>
  </si>
  <si>
    <t>FCI USA LLC</t>
  </si>
  <si>
    <t>INTERCABLE SRL</t>
  </si>
  <si>
    <t>JABIL CIRCUIT GUANGZHOU LIMITED CO/</t>
  </si>
  <si>
    <t>FCI NANTONG LTD.</t>
  </si>
  <si>
    <t>ZHEJIANG BLOVELIGHT INTELLIGENT EQU</t>
  </si>
  <si>
    <t>ITW EF&amp;C FRANCE SAS</t>
  </si>
  <si>
    <t>APAQ TECHNOLOGY (WUXI).CO.,LTD.</t>
  </si>
  <si>
    <t>APTIV SERVICES HUNGARY KFT.</t>
  </si>
  <si>
    <t>RPTECH DE MEXICO, S. DE R.L. DE C.V</t>
  </si>
  <si>
    <t>SEWS KOMPONENS ES ELEKTRONIKA EUROP</t>
  </si>
  <si>
    <t>DAR DRAEXLMAIER AUTOMOTIVE SRL TIMI</t>
  </si>
  <si>
    <t>EKB ELEKTRO- U. KUNSTSTOFFTECHNIK G</t>
  </si>
  <si>
    <t>CHAMPLAIN CABLE PAN AMERICAN CORP</t>
  </si>
  <si>
    <t>CABLENA SA</t>
  </si>
  <si>
    <t>HUIZHOU WEIBO PRECISE TECHNOLOGY CO</t>
  </si>
  <si>
    <t>LEAR CORP GMBH</t>
  </si>
  <si>
    <t>BM TECH CO.,LTD</t>
  </si>
  <si>
    <t>DUNCHA-AUTOMOTIVE CO.LTD</t>
  </si>
  <si>
    <t>SWCC CORPORATION</t>
  </si>
  <si>
    <t>PENN ENGINEERING AUTOMOTIVE FASTENE</t>
  </si>
  <si>
    <t>HOLLINGSWORTH DISTRIBUTION SYSTEMS,</t>
  </si>
  <si>
    <t>K S TOOLING, INC.</t>
  </si>
  <si>
    <t>BIZLINK SILITHERM SRL</t>
  </si>
  <si>
    <t>HONOR TONE LIMITED</t>
  </si>
  <si>
    <t>CARLISLE INTERCONNECT TECHNOLOGIES,</t>
  </si>
  <si>
    <t>APTIV SERVICES POLAND S A ODDZIAL W</t>
  </si>
  <si>
    <t>COMPUTIME LIMITED</t>
  </si>
  <si>
    <t>SUZHOU LITTELFUSE OVS LTD.</t>
  </si>
  <si>
    <t>SWS SALES &amp; MARKETING (THAILAND) CO</t>
  </si>
  <si>
    <t>SENKO ADVANCE CO., LTD.</t>
  </si>
  <si>
    <t>SOLVAY SPECIALTY POLYMERS USA, L.L.</t>
  </si>
  <si>
    <t>GBC METALS LLC</t>
  </si>
  <si>
    <t>WIELAND ROLLED PRODUCTS NORTH AMERI</t>
  </si>
  <si>
    <t>WIELAND METAL SERVICES, LLC</t>
  </si>
  <si>
    <t>SAK AUTO KABEL AG</t>
  </si>
  <si>
    <t>MARQUARDT LOGISTIK GMBH</t>
  </si>
  <si>
    <t>MODINEER CO. LLC (PK TOOL, LLC)</t>
  </si>
  <si>
    <t>KUESTER AUTOMOTIVE GMBH</t>
  </si>
  <si>
    <t>INTERPLEX METALFORMING (SHANGHAI) L</t>
  </si>
  <si>
    <t>WIEGEL TOOL WORKS, INC.</t>
  </si>
  <si>
    <t>APTIV MOBILITY SERVICES AUSTRIA MAT</t>
  </si>
  <si>
    <t>MTA SPA</t>
  </si>
  <si>
    <t>ACOME</t>
  </si>
  <si>
    <t>SUMITOMO WIRING SYSTEMS (U.S.A.) IN</t>
  </si>
  <si>
    <t>WIESON AUTOMOTIVE CO., LTD.</t>
  </si>
  <si>
    <t>STOCKO CONTACT GMBH &amp; CO. KG</t>
  </si>
  <si>
    <t>FARGO ASSEMBLY OF PA, INC.</t>
  </si>
  <si>
    <t>XIAMEN HONGFA TRANSPORTATION ELECTR</t>
  </si>
  <si>
    <t>HEWI G. WINKER GMBH &amp; CO. KG</t>
  </si>
  <si>
    <t>AMPHENOL-TUCHEL ELECTRONICS GESELLS</t>
  </si>
  <si>
    <t>TIANHAI ELECTRIC NORTH AMERICA, INC</t>
  </si>
  <si>
    <t>CAMBRIDGE AUDIO TECHNOLOGY LIMITED</t>
  </si>
  <si>
    <t>LEONI WIRING SYSTEMS SLOVAKIA, SPOL</t>
  </si>
  <si>
    <t>INTERCABLE S. R. O.</t>
  </si>
  <si>
    <t>CONNOR MANUFACTURING (SUZHOU) CO.,</t>
  </si>
  <si>
    <t>STANDARD-METALLWERKE GMBH</t>
  </si>
  <si>
    <t>SFS GROUP USA, INC.</t>
  </si>
  <si>
    <t>FIBRAX SANOK SP Z O O</t>
  </si>
  <si>
    <t>KIEKERT-CS, S.R.O.</t>
  </si>
  <si>
    <t>MUELLER-PLASTIK GMBH</t>
  </si>
  <si>
    <t>AMPHENOL TUCHEL INDUSTRIAL GMBH, OD</t>
  </si>
  <si>
    <t>VOLEX CABLE ASSEMBLY (SHENZHEN) CO.</t>
  </si>
  <si>
    <t>ON SEMICONDUCTOR CORPORATION</t>
  </si>
  <si>
    <t>INTERPLEX ENGINEERED PRODUCTS, INC.</t>
  </si>
  <si>
    <t>APTIV SERVICES HONDURAS S.R.L. DE C</t>
  </si>
  <si>
    <t>SHIKOKU CABLE (H.K.) LIMITED</t>
  </si>
  <si>
    <t>DIE-MENSION CORPORATION</t>
  </si>
  <si>
    <t>BUKANG SPRING CO., LTD.</t>
  </si>
  <si>
    <t>JUDD WIRE INC.</t>
  </si>
  <si>
    <t>ARROW ELECTRONICS, INC.</t>
  </si>
  <si>
    <t>FUBA PRINTED CIRCUIT TUNISIE SA</t>
  </si>
  <si>
    <t>STARLIM SPRITZGUSS GMBH</t>
  </si>
  <si>
    <t>LEONI SLOVAKIA, SPOL. S R. O.</t>
  </si>
  <si>
    <t>SCHULTE &amp; CO. GMBH</t>
  </si>
  <si>
    <t>ETISOFT SP Z O O</t>
  </si>
  <si>
    <t>DONG GUAN ACEWAY PLASTIC AND METAL</t>
  </si>
  <si>
    <t>PROVERTHA ELECTRONIC COMPONENTS ZRT</t>
  </si>
  <si>
    <t>HOFFER PLASTICS CORPORATION</t>
  </si>
  <si>
    <t>APTIV COMPONENTS INDIA PRIVATE LIMI</t>
  </si>
  <si>
    <t>EJOT ATF, LP</t>
  </si>
  <si>
    <t>INV NYLON CHEMICALS AMERICAS, LLC</t>
  </si>
  <si>
    <t>AVDEL USA LLC</t>
  </si>
  <si>
    <t>MODINEER CO. LLC</t>
  </si>
  <si>
    <t>C.N. WIRE CORPORATION</t>
  </si>
  <si>
    <t>HARBORT GMBH &amp; CO. KG</t>
  </si>
  <si>
    <t>LS CABLE &amp; SYSTEM LTD.</t>
  </si>
  <si>
    <t>EPT GMBH</t>
  </si>
  <si>
    <t>ODU AUTOMOTIVE GMBH</t>
  </si>
  <si>
    <t>ITW INDIA PRIVATE LIMITED</t>
  </si>
  <si>
    <t>APTIV SERVICES MAROC</t>
  </si>
  <si>
    <t>GEBAUER &amp; GRILLER KABELWERKE GESELL</t>
  </si>
  <si>
    <t>TESNILA GK D.O.O.</t>
  </si>
  <si>
    <t>AUTO-KABEL HAUSEN GMBH &amp; CO BETRIEB</t>
  </si>
  <si>
    <t>ILLINOIS TOOL WORKS INC.</t>
  </si>
  <si>
    <t>CHAMPLAIN CABLE TEXAS CORPORATION</t>
  </si>
  <si>
    <t>A.T.G. SRL</t>
  </si>
  <si>
    <t>VOESTALPINE AUTOMOTIVE COMPONENTS S</t>
  </si>
  <si>
    <t>SFS GROUP SCHWEIZ AG</t>
  </si>
  <si>
    <t>RENESAS SEMICONDUCTOR KL SDN. BHD.</t>
  </si>
  <si>
    <t>GRUNER AKTIENGESELLSCHAFT</t>
  </si>
  <si>
    <t>NEDSCHROEF PLETTENBERG GMBH</t>
  </si>
  <si>
    <t>ODU AUTOMOTIVE, INC.</t>
  </si>
  <si>
    <t>INTERCABLE AUTOMOTIVE SOLUTIONS SRL</t>
  </si>
  <si>
    <t>EKB ELEKTROU. KUNSTSTOFFTECHNIK GMB</t>
  </si>
  <si>
    <t>NEXANS SWEDEN AB</t>
  </si>
  <si>
    <t>KICKHAEFER MANUFACTURING COMPANY, L</t>
  </si>
  <si>
    <t>APTIVPORT SERVICES, S.A.</t>
  </si>
  <si>
    <t>ARROW COMPONENTS MEXICO, S.A. DE C.</t>
  </si>
  <si>
    <t>AMPHENOL FCI BESANCON</t>
  </si>
  <si>
    <t>SERENDIPITY ELECTRONICS INC</t>
  </si>
  <si>
    <t>PENNMARK TECHNOLOGIES CORPORATION</t>
  </si>
  <si>
    <t>HERMES ENGINEERING OOD</t>
  </si>
  <si>
    <t>LUXSHARE PRECISION LIMITED</t>
  </si>
  <si>
    <t>JABIL CIRCUIT DE CHIHUAHUA, S. DE R</t>
  </si>
  <si>
    <t>TYCO ELECTRONICS (SUZHOU) LTD.</t>
  </si>
  <si>
    <t>NACIONAL DE COBRE, S.A. DE C.V.</t>
  </si>
  <si>
    <t>KME GERMANY AG &amp; CO KG</t>
  </si>
  <si>
    <t>APTIV ELECTRIC SYSTEMS CO., LTD.</t>
  </si>
  <si>
    <t>SUMCO GROUP, LLC</t>
  </si>
  <si>
    <t>APTIV TECHNOLOGY SERVICES &amp; SOLUTIO</t>
  </si>
  <si>
    <t>AMERICAN ELECTRO PRODUCTS, INC.</t>
  </si>
  <si>
    <t>TERMOMECANICA SAO PAULO S/A</t>
  </si>
  <si>
    <t>EAGLE METALS, INC.</t>
  </si>
  <si>
    <t>PHOENIX CONTACT E-MOBILITY GMBH</t>
  </si>
  <si>
    <t>PENN UNITED TECHNOLOGIES, INC.</t>
  </si>
  <si>
    <t>ENPHASE ENERGY, INC.</t>
  </si>
  <si>
    <t>LEAR CORPORATION</t>
  </si>
  <si>
    <t>ASW GLOBAL, LLC</t>
  </si>
  <si>
    <t>GOTREND TECHNOLOGY CO., LTD.</t>
  </si>
  <si>
    <t>W.H. BRADY S. DE R.L. DE C.V.</t>
  </si>
  <si>
    <t>bradyqro@bradycorp.com</t>
  </si>
  <si>
    <t xml:space="preserve"> HARNESS CODE LTD OOD</t>
  </si>
  <si>
    <t>brianna.saul@nxp.com</t>
  </si>
  <si>
    <t>NXP USA, INC.</t>
  </si>
  <si>
    <t>DELFINGEN RO-SATU MARE S.A.</t>
  </si>
  <si>
    <t>Holger.Zacher@schlemmer.com</t>
  </si>
  <si>
    <t>HENRY.RAMOS@TENNECO.COM</t>
  </si>
  <si>
    <t>www.harnesscode.com; b.stoev@harnesscode.com</t>
  </si>
  <si>
    <t>candy.compton@htamericas.com; marc.gutierrez@htamericas.com</t>
  </si>
  <si>
    <t>Argumedo, Da</t>
  </si>
  <si>
    <t>Martinez1, D</t>
  </si>
  <si>
    <t>Audio Ohm di Tonani</t>
  </si>
  <si>
    <t>daniel.argumedo@aptiv.com</t>
  </si>
  <si>
    <t>TESA TAPE, INC.</t>
  </si>
  <si>
    <t>tgatton@tesatape.com</t>
  </si>
  <si>
    <t>Buyer mail</t>
  </si>
  <si>
    <t>PT</t>
  </si>
  <si>
    <t>david.martinez1@aptiv.com</t>
  </si>
  <si>
    <t>Cantidad PR:</t>
  </si>
  <si>
    <t xml:space="preserve">JN@autecto.de </t>
  </si>
  <si>
    <t>rpd</t>
  </si>
  <si>
    <t>sb</t>
  </si>
  <si>
    <t>sb aproval</t>
  </si>
  <si>
    <t>rpd - no correo</t>
  </si>
  <si>
    <t>enviado</t>
  </si>
  <si>
    <t>en process center</t>
  </si>
  <si>
    <t>xp +</t>
  </si>
  <si>
    <t>rpd - extra en el correo</t>
  </si>
  <si>
    <t>In Process Center</t>
  </si>
  <si>
    <t>maria.emilia</t>
  </si>
  <si>
    <t xml:space="preserve">Date: </t>
  </si>
  <si>
    <t>Malacara, Gu</t>
  </si>
  <si>
    <t>guadalupe.malacara@aptiv.com</t>
  </si>
  <si>
    <t>Martinez, Ma</t>
  </si>
  <si>
    <t>xp nc</t>
  </si>
  <si>
    <t>1000S9VU</t>
  </si>
  <si>
    <t>C:\Users\1eq6qc\Documents\F\Aptiv SAP PR_PO - Request for Purchase Document.xlsm</t>
  </si>
  <si>
    <t>judith.valle@te.com</t>
  </si>
  <si>
    <t>Almaraz, Ste</t>
  </si>
  <si>
    <t>Edson Avila</t>
  </si>
  <si>
    <t>steffani.almaraz@aptiv.com</t>
  </si>
  <si>
    <t>mhgarcia@delfingen.com</t>
  </si>
  <si>
    <t>SARAH</t>
  </si>
  <si>
    <t xml:space="preserve"> </t>
  </si>
  <si>
    <t>System for Automed Requisition and Acquisition - Helper</t>
  </si>
  <si>
    <t>C:\Users\1eq6qc\Documents\F\Copy of SB - Approval File.xlsm</t>
  </si>
  <si>
    <t>marianela.martinez@aptiv.com</t>
  </si>
  <si>
    <t>nelly.adelaida.arroyo@aptiv.com</t>
  </si>
  <si>
    <t>Tovar, Rober</t>
  </si>
  <si>
    <t>Robertoalfredo.M.Tovar@aptiv.com</t>
  </si>
  <si>
    <t>Diaz, Jorge</t>
  </si>
  <si>
    <t>jorge.ivan.diaz@aptiv.com</t>
  </si>
  <si>
    <t>Blair, Jacob &lt;Jacob.Blair@coroplast-tape.com&gt;</t>
  </si>
  <si>
    <t>AVIENT CORPORATION (1071081)</t>
  </si>
  <si>
    <t>Emily.Gerbershagen@Avient.com</t>
  </si>
  <si>
    <t>WHITLAM LABEL CO., INC.</t>
  </si>
  <si>
    <t>fengbing.hu@aptiv.com; wei.qian@aptiv.com</t>
  </si>
  <si>
    <t>1000SCJI</t>
  </si>
  <si>
    <t>1000SBPV</t>
  </si>
  <si>
    <t>1000SBT8</t>
  </si>
  <si>
    <t>1000SA0S</t>
  </si>
  <si>
    <t>1000SA0O</t>
  </si>
  <si>
    <t>1000SCGX</t>
  </si>
  <si>
    <t>1000SCH2</t>
  </si>
  <si>
    <t>1000S95S</t>
  </si>
  <si>
    <t>Ricardo.Contreras@aptiv.com</t>
  </si>
  <si>
    <t>Ana.Isabel.Enamorado.Torres@aptiv.com</t>
  </si>
  <si>
    <t>PROTO LABS, LIMITED</t>
  </si>
  <si>
    <t xml:space="preserve"> charles.pihl@protolabs.com</t>
  </si>
  <si>
    <t>1000S8GR</t>
  </si>
  <si>
    <t>1000S8GJ</t>
  </si>
  <si>
    <t>1000S8GB</t>
  </si>
  <si>
    <t>tholland@chiefent.com</t>
  </si>
  <si>
    <t>PO</t>
  </si>
  <si>
    <t>Extra mail</t>
  </si>
  <si>
    <t>hugo.ariel.castaneda@aptiv.com</t>
  </si>
  <si>
    <t>PO ENVIADA</t>
  </si>
  <si>
    <t>454428280 - Enviada</t>
  </si>
  <si>
    <t>454428242 - Enviada</t>
  </si>
  <si>
    <t>454428243 - Enviada</t>
  </si>
  <si>
    <t>454428279 - Enviada</t>
  </si>
  <si>
    <t>454428282 - Enviada</t>
  </si>
  <si>
    <t>1000SBQO</t>
  </si>
  <si>
    <t>1000SCKO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</si>
</sst>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2" x14ac:knownFonts="1">
    <font>
      <sz val="10"/>
      <name val="Arial"/>
    </font>
    <font>
      <u/>
      <sz val="10"/>
      <color indexed="12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0"/>
      <color theme="4"/>
      <name val="Arial"/>
      <family val="2"/>
    </font>
    <font>
      <sz val="10"/>
      <color theme="4" tint="-0.249977111117893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4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16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applyAlignment="1">
      <alignment horizontal="left" vertical="top"/>
    </xf>
    <xf numFmtId="0" fontId="1" fillId="0" borderId="0" xfId="1" applyAlignment="1" applyProtection="1">
      <alignment vertical="top"/>
    </xf>
    <xf numFmtId="0" fontId="2" fillId="0" borderId="0" xfId="0" applyFont="1" applyAlignment="1">
      <alignment vertical="top"/>
    </xf>
    <xf numFmtId="0" fontId="2" fillId="3" borderId="1" xfId="0" applyFont="1" applyFill="1" applyBorder="1" applyAlignment="1">
      <alignment vertical="top"/>
    </xf>
    <xf numFmtId="4" fontId="1" fillId="0" borderId="0" xfId="1" applyNumberFormat="1" applyAlignment="1" applyProtection="1">
      <alignment vertical="top"/>
    </xf>
    <xf numFmtId="0" fontId="3" fillId="0" borderId="0" xfId="0" applyFont="1"/>
    <xf numFmtId="0" fontId="2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vertical="top"/>
    </xf>
    <xf numFmtId="0" fontId="2" fillId="4" borderId="0" xfId="0" applyFont="1" applyFill="1" applyAlignment="1">
      <alignment vertical="top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top"/>
      <protection locked="0"/>
    </xf>
    <xf numFmtId="0" fontId="2" fillId="4" borderId="0" xfId="0" applyFont="1" applyFill="1" applyAlignment="1" applyProtection="1">
      <alignment vertical="top"/>
      <protection locked="0"/>
    </xf>
    <xf numFmtId="0" fontId="0" fillId="3" borderId="0" xfId="0" applyFill="1" applyAlignment="1">
      <alignment vertical="top"/>
    </xf>
    <xf numFmtId="0" fontId="5" fillId="4" borderId="0" xfId="0" applyFont="1" applyFill="1" applyAlignment="1">
      <alignment vertical="top"/>
    </xf>
    <xf numFmtId="0" fontId="4" fillId="3" borderId="0" xfId="0" applyFont="1" applyFill="1" applyAlignment="1">
      <alignment horizontal="right" vertical="top"/>
    </xf>
    <xf numFmtId="0" fontId="2" fillId="3" borderId="0" xfId="0" applyFont="1" applyFill="1" applyAlignment="1">
      <alignment vertical="top"/>
    </xf>
    <xf numFmtId="0" fontId="2" fillId="3" borderId="0" xfId="0" applyFont="1" applyFill="1" applyAlignment="1">
      <alignment horizontal="center" vertical="center"/>
    </xf>
    <xf numFmtId="14" fontId="0" fillId="4" borderId="0" xfId="0" applyNumberFormat="1" applyFill="1" applyAlignment="1">
      <alignment vertical="top"/>
    </xf>
    <xf numFmtId="0" fontId="7" fillId="3" borderId="1" xfId="0" applyFont="1" applyFill="1" applyBorder="1" applyAlignment="1">
      <alignment vertical="top"/>
    </xf>
    <xf numFmtId="0" fontId="7" fillId="4" borderId="0" xfId="0" applyFont="1" applyFill="1" applyAlignment="1">
      <alignment vertical="top"/>
    </xf>
    <xf numFmtId="0" fontId="8" fillId="4" borderId="0" xfId="0" applyFont="1" applyFill="1" applyAlignment="1">
      <alignment vertical="top"/>
    </xf>
    <xf numFmtId="0" fontId="2" fillId="0" borderId="0" xfId="0" applyFont="1" applyAlignment="1">
      <alignment horizontal="left" vertical="top"/>
    </xf>
    <xf numFmtId="0" fontId="4" fillId="3" borderId="0" xfId="0" applyFont="1" applyFill="1" applyAlignment="1">
      <alignment horizontal="right" vertical="top"/>
    </xf>
    <xf numFmtId="0" fontId="10" fillId="3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0" fontId="11" fillId="0" borderId="1" xfId="0" applyFont="1" applyBorder="1" applyAlignment="1">
      <alignment wrapText="1"/>
    </xf>
    <xf numFmtId="0" fontId="1" fillId="4" borderId="0" xfId="1" applyFill="1" applyAlignment="1" applyProtection="1">
      <alignment vertical="top"/>
    </xf>
  </cellXfs>
  <cellStyles count="2">
    <cellStyle name="Hyperlink" xfId="1" builtinId="8"/>
    <cellStyle name="Normal" xfId="0" builtinId="0"/>
  </cellStyles>
  <dxfs count="3">
    <dxf>
      <font>
        <b/>
        <i val="0"/>
        <color theme="9"/>
      </font>
    </dxf>
    <dxf>
      <font>
        <color theme="8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A58535"/>
      <color rgb="FFCEB168"/>
      <color rgb="FFD9C38B"/>
      <color rgb="FFF3E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5</xdr:row>
          <xdr:rowOff>158750</xdr:rowOff>
        </xdr:from>
        <xdr:to>
          <xdr:col>18</xdr:col>
          <xdr:colOff>63500</xdr:colOff>
          <xdr:row>7</xdr:row>
          <xdr:rowOff>127000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400050</xdr:colOff>
          <xdr:row>8</xdr:row>
          <xdr:rowOff>120650</xdr:rowOff>
        </xdr:from>
        <xdr:to>
          <xdr:col>18</xdr:col>
          <xdr:colOff>57150</xdr:colOff>
          <xdr:row>12</xdr:row>
          <xdr:rowOff>88900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 PRs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400050</xdr:colOff>
          <xdr:row>13</xdr:row>
          <xdr:rowOff>57150</xdr:rowOff>
        </xdr:from>
        <xdr:to>
          <xdr:col>16</xdr:col>
          <xdr:colOff>558800</xdr:colOff>
          <xdr:row>16</xdr:row>
          <xdr:rowOff>6350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formatos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603250</xdr:colOff>
          <xdr:row>13</xdr:row>
          <xdr:rowOff>57150</xdr:rowOff>
        </xdr:from>
        <xdr:to>
          <xdr:col>18</xdr:col>
          <xdr:colOff>57150</xdr:colOff>
          <xdr:row>16</xdr:row>
          <xdr:rowOff>6350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Descargar PRs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400050</xdr:colOff>
          <xdr:row>18</xdr:row>
          <xdr:rowOff>120650</xdr:rowOff>
        </xdr:from>
        <xdr:to>
          <xdr:col>18</xdr:col>
          <xdr:colOff>76200</xdr:colOff>
          <xdr:row>19</xdr:row>
          <xdr:rowOff>127000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0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PR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133</xdr:row>
          <xdr:rowOff>0</xdr:rowOff>
        </xdr:from>
        <xdr:to>
          <xdr:col>2</xdr:col>
          <xdr:colOff>666750</xdr:colOff>
          <xdr:row>134</xdr:row>
          <xdr:rowOff>69850</xdr:rowOff>
        </xdr:to>
        <xdr:sp macro="" textlink="">
          <xdr:nvSpPr>
            <xdr:cNvPr id="4098" name="Control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133</xdr:row>
          <xdr:rowOff>0</xdr:rowOff>
        </xdr:from>
        <xdr:to>
          <xdr:col>2</xdr:col>
          <xdr:colOff>666750</xdr:colOff>
          <xdr:row>134</xdr:row>
          <xdr:rowOff>69850</xdr:rowOff>
        </xdr:to>
        <xdr:sp macro="" textlink="">
          <xdr:nvSpPr>
            <xdr:cNvPr id="4099" name="Control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133</xdr:row>
          <xdr:rowOff>0</xdr:rowOff>
        </xdr:from>
        <xdr:to>
          <xdr:col>2</xdr:col>
          <xdr:colOff>666750</xdr:colOff>
          <xdr:row>134</xdr:row>
          <xdr:rowOff>69850</xdr:rowOff>
        </xdr:to>
        <xdr:sp macro="" textlink="">
          <xdr:nvSpPr>
            <xdr:cNvPr id="4100" name="Control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hugo.ariel.castaneda@aptiv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hugo.ariel.castaneda@aptiv.com" TargetMode="External"/><Relationship Id="rId1" Type="http://schemas.openxmlformats.org/officeDocument/2006/relationships/hyperlink" Target="mailto:hugo.ariel.castaneda@aptiv.co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guadalupe.malacara@aptiv.com" TargetMode="External"/><Relationship Id="rId2" Type="http://schemas.openxmlformats.org/officeDocument/2006/relationships/hyperlink" Target="mailto:maria.emilia.perez@aptiv.com" TargetMode="External"/><Relationship Id="rId1" Type="http://schemas.openxmlformats.org/officeDocument/2006/relationships/hyperlink" Target="mailto:edgar.aguilar@aptiv.co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bradyqro@bradycorp.com" TargetMode="External"/><Relationship Id="rId13" Type="http://schemas.openxmlformats.org/officeDocument/2006/relationships/hyperlink" Target="mailto:hope.zhou@kashui.com" TargetMode="External"/><Relationship Id="rId18" Type="http://schemas.openxmlformats.org/officeDocument/2006/relationships/hyperlink" Target="mailto:mhgarcia@delfingen.com" TargetMode="External"/><Relationship Id="rId3" Type="http://schemas.openxmlformats.org/officeDocument/2006/relationships/hyperlink" Target="mailto:JanetJazdzewski@Eaton.com" TargetMode="External"/><Relationship Id="rId21" Type="http://schemas.openxmlformats.org/officeDocument/2006/relationships/vmlDrawing" Target="../drawings/vmlDrawing2.vml"/><Relationship Id="rId7" Type="http://schemas.openxmlformats.org/officeDocument/2006/relationships/hyperlink" Target="mailto:montserrat.romo@coficab.com" TargetMode="External"/><Relationship Id="rId12" Type="http://schemas.openxmlformats.org/officeDocument/2006/relationships/hyperlink" Target="mailto:brianna.saul@nxp.com" TargetMode="External"/><Relationship Id="rId17" Type="http://schemas.openxmlformats.org/officeDocument/2006/relationships/hyperlink" Target="mailto:JN@autecto.de" TargetMode="External"/><Relationship Id="rId25" Type="http://schemas.openxmlformats.org/officeDocument/2006/relationships/control" Target="../activeX/activeX3.xml"/><Relationship Id="rId2" Type="http://schemas.openxmlformats.org/officeDocument/2006/relationships/hyperlink" Target="mailto:amber.ferguson@volex.com" TargetMode="External"/><Relationship Id="rId16" Type="http://schemas.openxmlformats.org/officeDocument/2006/relationships/hyperlink" Target="mailto:tgatton@tesatape.com" TargetMode="External"/><Relationship Id="rId20" Type="http://schemas.openxmlformats.org/officeDocument/2006/relationships/drawing" Target="../drawings/drawing2.xml"/><Relationship Id="rId1" Type="http://schemas.openxmlformats.org/officeDocument/2006/relationships/hyperlink" Target="mailto:k-p.kuriakose@aptiv.com" TargetMode="External"/><Relationship Id="rId6" Type="http://schemas.openxmlformats.org/officeDocument/2006/relationships/hyperlink" Target="mailto:Teresa.Saunders@henkel.com" TargetMode="External"/><Relationship Id="rId11" Type="http://schemas.openxmlformats.org/officeDocument/2006/relationships/hyperlink" Target="mailto:AWeihrauch@lear.com" TargetMode="External"/><Relationship Id="rId24" Type="http://schemas.openxmlformats.org/officeDocument/2006/relationships/control" Target="../activeX/activeX2.xml"/><Relationship Id="rId5" Type="http://schemas.openxmlformats.org/officeDocument/2006/relationships/hyperlink" Target="mailto:denise.lippman@amphenol.de;Tobias.Buergler@amphenol.de;nathalie.brux@amphenol-automotive.de;Celine.Flotta@amphenol.de" TargetMode="External"/><Relationship Id="rId15" Type="http://schemas.openxmlformats.org/officeDocument/2006/relationships/hyperlink" Target="mailto:HENRY.RAMOS@TENNECO.COM" TargetMode="External"/><Relationship Id="rId23" Type="http://schemas.openxmlformats.org/officeDocument/2006/relationships/image" Target="../media/image1.emf"/><Relationship Id="rId10" Type="http://schemas.openxmlformats.org/officeDocument/2006/relationships/hyperlink" Target="mailto:Diana.Guillermina.Zuniga@aptiv.com;oscar.molinero@aptiv.com;juan.m.alderete-alejo@aptiv.com;isabel.navarro@aptiv.com" TargetMode="External"/><Relationship Id="rId19" Type="http://schemas.openxmlformats.org/officeDocument/2006/relationships/printerSettings" Target="../printerSettings/printerSettings2.bin"/><Relationship Id="rId4" Type="http://schemas.openxmlformats.org/officeDocument/2006/relationships/hyperlink" Target="mailto:c.lerma@centurymold.com" TargetMode="External"/><Relationship Id="rId9" Type="http://schemas.openxmlformats.org/officeDocument/2006/relationships/hyperlink" Target="mailto:Brad.E.Slaughter@aptiv.com;jim_pan@king-good.com;sale09_jx@king-good.com" TargetMode="External"/><Relationship Id="rId14" Type="http://schemas.openxmlformats.org/officeDocument/2006/relationships/hyperlink" Target="mailto:m2buchmann@smtllcgroup.com" TargetMode="External"/><Relationship Id="rId22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CF11A-7757-4ADE-8B01-55F1AE4BFF63}">
  <sheetPr codeName="Sheet6"/>
  <dimension ref="A1:T57"/>
  <sheetViews>
    <sheetView tabSelected="1" zoomScale="70" zoomScaleNormal="70" workbookViewId="0">
      <selection activeCell="B13" sqref="B13"/>
    </sheetView>
  </sheetViews>
  <sheetFormatPr defaultRowHeight="12.5" x14ac:dyDescent="0.25"/>
  <cols>
    <col min="1" max="1" width="9.1796875" style="14" bestFit="1" customWidth="1"/>
    <col min="2" max="2" width="10" style="14" bestFit="1" customWidth="1"/>
    <col min="3" max="3" width="9.1796875" style="14" bestFit="1" customWidth="1"/>
    <col min="4" max="4" width="8.54296875" style="14" bestFit="1" customWidth="1"/>
    <col min="5" max="5" width="15.6328125" style="14" bestFit="1" customWidth="1"/>
    <col min="6" max="6" width="15.36328125" style="14" bestFit="1" customWidth="1"/>
    <col min="7" max="7" width="38.36328125" style="14" bestFit="1" customWidth="1"/>
    <col min="8" max="8" width="5.36328125" style="16" bestFit="1" customWidth="1"/>
    <col min="9" max="9" width="9.81640625" style="26" bestFit="1" customWidth="1"/>
    <col min="10" max="10" width="13.36328125" style="14" customWidth="1"/>
    <col min="11" max="11" width="16.08984375" style="14" bestFit="1" customWidth="1"/>
    <col min="12" max="13" width="16.08984375" style="14" customWidth="1"/>
    <col min="14" max="14" width="18.26953125" style="14" bestFit="1" customWidth="1"/>
    <col min="15" max="15" width="8.7265625" style="14"/>
    <col min="16" max="16" width="8.7265625" style="19"/>
    <col min="17" max="17" width="9.90625" style="19" bestFit="1" customWidth="1"/>
    <col min="18" max="18" width="9.1796875" style="19" bestFit="1" customWidth="1"/>
    <col min="19" max="19" width="9.453125" style="19" customWidth="1"/>
    <col min="20" max="16384" width="8.7265625" style="14"/>
  </cols>
  <sheetData>
    <row r="1" spans="1:20" ht="13" x14ac:dyDescent="0.3">
      <c r="A1" s="10" t="s">
        <v>2895</v>
      </c>
      <c r="B1" s="10" t="s">
        <v>2897</v>
      </c>
      <c r="C1" s="10" t="s">
        <v>2650</v>
      </c>
      <c r="D1" s="10" t="s">
        <v>2898</v>
      </c>
      <c r="E1" s="10" t="s">
        <v>2899</v>
      </c>
      <c r="F1" s="10" t="s">
        <v>2902</v>
      </c>
      <c r="G1" s="10" t="s">
        <v>2896</v>
      </c>
      <c r="H1" s="13" t="s">
        <v>3149</v>
      </c>
      <c r="I1" s="25" t="s">
        <v>2652</v>
      </c>
      <c r="J1" s="10" t="s">
        <v>2901</v>
      </c>
      <c r="K1" s="10" t="s">
        <v>2900</v>
      </c>
      <c r="L1" s="10" t="s">
        <v>3148</v>
      </c>
      <c r="M1" s="10" t="s">
        <v>3207</v>
      </c>
      <c r="N1" s="10" t="s">
        <v>3206</v>
      </c>
      <c r="O1" s="15"/>
      <c r="P1" s="31" t="s">
        <v>3175</v>
      </c>
      <c r="Q1" s="31"/>
      <c r="R1" s="31"/>
      <c r="S1" s="31"/>
      <c r="T1" s="27" t="s">
        <v>3169</v>
      </c>
    </row>
    <row r="2" spans="1:20" ht="13" customHeight="1" x14ac:dyDescent="0.25">
      <c r="A2" s="14">
        <v>56658060</v>
      </c>
      <c r="B2" s="15" t="s">
        <v>3190</v>
      </c>
      <c r="C2" s="14">
        <v>1087439</v>
      </c>
      <c r="D2" s="14">
        <v>396</v>
      </c>
      <c r="E2" s="14" t="s">
        <v>2515</v>
      </c>
      <c r="F2" s="18" t="s">
        <v>3209</v>
      </c>
      <c r="G2" s="14" t="str">
        <f>IF(ISBLANK(A2),"",IFERROR(VLOOKUP(C2,SUPPLIERS!A:B,2,FALSE),"VENDOR NO REGISTRADO"))</f>
        <v>ROYAL DIE &amp; STAMPING, LLC</v>
      </c>
      <c r="H2" s="16" t="str">
        <f>IF(ISBLANK(A2),"",IFERROR(IF(VLOOKUP(G2,suppliers_s!A:A,1,FALSE)=G2,"S","R"),"R"))</f>
        <v>S</v>
      </c>
      <c r="I2" s="26">
        <f>IF(ISBLANK(A2),"",IFERROR(VLOOKUP(C2,SUPPLIERS!A:C,3,FALSE),"No vendor"))</f>
        <v>118451445</v>
      </c>
      <c r="J2" s="14" t="str">
        <f>IF(ISBLANK(A2),"",IFERROR(IF(VLOOKUP(C2,SUPPLIERS!A:D,4,FALSE)=0,"NO CORREO",VLOOKUP(C2,SUPPLIERS!A:D,4,FALSE)),"NO VENDOR"))</f>
        <v>JanetJazdzewski@Eaton.com</v>
      </c>
      <c r="K2" s="14" t="str">
        <f>IF(ISBLANK(A2),"",IFERROR(VLOOKUP(E2,REQUESTORS!A:B,2,FALSE),"Req. No registrado"))</f>
        <v>myriam.guerrero@aptiv.com</v>
      </c>
      <c r="L2" s="14" t="str">
        <f>IF(ISBLANK(A2),"",VLOOKUP(D2,BUYER!A:C,3,FALSE))</f>
        <v>cesar.adrian.munoz@aptiv.com</v>
      </c>
      <c r="M2" s="33"/>
      <c r="N2" s="15" t="s">
        <v>3212</v>
      </c>
      <c r="O2" s="15" t="s">
        <v>3176</v>
      </c>
      <c r="P2" s="30" t="s">
        <v>3177</v>
      </c>
      <c r="Q2" s="30"/>
      <c r="R2" s="30"/>
      <c r="S2" s="30"/>
      <c r="T2" s="27" t="s">
        <v>3178</v>
      </c>
    </row>
    <row r="3" spans="1:20" x14ac:dyDescent="0.25">
      <c r="A3" s="14">
        <v>56658061</v>
      </c>
      <c r="B3" s="14" t="s">
        <v>3191</v>
      </c>
      <c r="C3" s="14">
        <v>1063326</v>
      </c>
      <c r="D3" s="14">
        <v>390</v>
      </c>
      <c r="E3" s="14" t="s">
        <v>2487</v>
      </c>
      <c r="F3" s="18" t="s">
        <v>3161</v>
      </c>
      <c r="G3" s="14" t="str">
        <f>IF(ISBLANK(A3),"",IFERROR(VLOOKUP(C3,SUPPLIERS!A:B,2,FALSE),"VENDOR NO REGISTRADO"))</f>
        <v>APTIV CONNECTION SYSTEMS INDIA PRIV</v>
      </c>
      <c r="H3" s="16" t="str">
        <f>IF(ISBLANK(A3),"",IFERROR(IF(VLOOKUP(G3,suppliers_s!A:A,1,FALSE)=G3,"S","R"),"R"))</f>
        <v>S</v>
      </c>
      <c r="I3" s="26">
        <f>IF(ISBLANK(A3),"",IFERROR(VLOOKUP(C3,SUPPLIERS!A:C,3,FALSE),"No vendor"))</f>
        <v>916202785</v>
      </c>
      <c r="J3" s="14" t="str">
        <f>IF(ISBLANK(A3),"",IFERROR(IF(VLOOKUP(C3,SUPPLIERS!A:D,4,FALSE)=0,"NO CORREO",VLOOKUP(C3,SUPPLIERS!A:D,4,FALSE)),"NO VENDOR"))</f>
        <v xml:space="preserve">binu.joy@aptiv.com; ashish.burkhe@aptiv.com; &lt;ishu.chaudhary@aptiv.com&gt;; Kannojia, Saurabh &lt;saurabh.kannojia@aptiv.com; pooja.kale@aptiv.com&gt;; </v>
      </c>
      <c r="K3" s="14" t="str">
        <f>IF(ISBLANK(A3),"",IFERROR(VLOOKUP(E3,REQUESTORS!A:B,2,FALSE),"Req. No registrado"))</f>
        <v>blanca.rios@aptiv.com</v>
      </c>
      <c r="L3" s="14" t="str">
        <f>IF(ISBLANK(A3),"",VLOOKUP(D3,BUYER!A:C,3,FALSE))</f>
        <v>emma.garcia@aptiv.com</v>
      </c>
      <c r="N3" s="15"/>
      <c r="O3" s="15" t="s">
        <v>3176</v>
      </c>
      <c r="P3" s="30"/>
      <c r="Q3" s="30"/>
      <c r="R3" s="30"/>
      <c r="S3" s="30"/>
    </row>
    <row r="4" spans="1:20" x14ac:dyDescent="0.25">
      <c r="A4" s="14">
        <v>56658062</v>
      </c>
      <c r="B4" s="14" t="s">
        <v>3192</v>
      </c>
      <c r="C4" s="14">
        <v>1049687</v>
      </c>
      <c r="D4" s="14">
        <v>390</v>
      </c>
      <c r="E4" s="14" t="s">
        <v>2501</v>
      </c>
      <c r="F4" s="18" t="s">
        <v>3209</v>
      </c>
      <c r="G4" s="14" t="str">
        <f>IF(ISBLANK(A4),"",IFERROR(VLOOKUP(C4,SUPPLIERS!A:B,2,FALSE),"VENDOR NO REGISTRADO"))</f>
        <v>LITTELFUSE, INC.</v>
      </c>
      <c r="H4" s="16" t="str">
        <f>IF(ISBLANK(A4),"",IFERROR(IF(VLOOKUP(G4,suppliers_s!A:A,1,FALSE)=G4,"S","R"),"R"))</f>
        <v>R</v>
      </c>
      <c r="I4" s="26">
        <f>IF(ISBLANK(A4),"",IFERROR(VLOOKUP(C4,SUPPLIERS!A:C,3,FALSE),"No vendor"))</f>
        <v>826934841</v>
      </c>
      <c r="J4" s="14" t="str">
        <f>IF(ISBLANK(A4),"",IFERROR(IF(VLOOKUP(C4,SUPPLIERS!A:D,4,FALSE)=0,"NO CORREO",VLOOKUP(C4,SUPPLIERS!A:D,4,FALSE)),"NO VENDOR"))</f>
        <v>Alex Angeles &lt;AAngeles@Littelfuse.com&gt;</v>
      </c>
      <c r="K4" s="14" t="str">
        <f>IF(ISBLANK(A4),"",IFERROR(VLOOKUP(E4,REQUESTORS!A:B,2,FALSE),"Req. No registrado"))</f>
        <v>lorenzo.ramirez@aptiv.com</v>
      </c>
      <c r="L4" s="14" t="str">
        <f>IF(ISBLANK(A4),"",VLOOKUP(D4,BUYER!A:C,3,FALSE))</f>
        <v>emma.garcia@aptiv.com</v>
      </c>
      <c r="N4" s="15" t="s">
        <v>3210</v>
      </c>
      <c r="O4" s="15" t="s">
        <v>3176</v>
      </c>
    </row>
    <row r="5" spans="1:20" ht="13" x14ac:dyDescent="0.25">
      <c r="A5" s="14">
        <v>56658063</v>
      </c>
      <c r="B5" s="14" t="s">
        <v>3193</v>
      </c>
      <c r="C5" s="14">
        <v>1022831</v>
      </c>
      <c r="D5" s="14">
        <v>390</v>
      </c>
      <c r="E5" s="14" t="s">
        <v>2499</v>
      </c>
      <c r="F5" s="18" t="s">
        <v>3161</v>
      </c>
      <c r="G5" s="14" t="str">
        <f>IF(ISBLANK(A5),"",IFERROR(VLOOKUP(C5,SUPPLIERS!A:B,2,FALSE),"VENDOR NO REGISTRADO"))</f>
        <v>APTIV SERVICES US, LLC</v>
      </c>
      <c r="H5" s="16" t="str">
        <f>IF(ISBLANK(A5),"",IFERROR(IF(VLOOKUP(G5,suppliers_s!A:A,1,FALSE)=G5,"S","R"),"R"))</f>
        <v>S</v>
      </c>
      <c r="I5" s="26">
        <f>IF(ISBLANK(A5),"",IFERROR(VLOOKUP(C5,SUPPLIERS!A:C,3,FALSE),"No vendor"))</f>
        <v>118293427</v>
      </c>
      <c r="J5" s="14" t="str">
        <f>IF(ISBLANK(A5),"",IFERROR(IF(VLOOKUP(C5,SUPPLIERS!A:D,4,FALSE)=0,"NO CORREO",VLOOKUP(C5,SUPPLIERS!A:D,4,FALSE)),"NO VENDOR"))</f>
        <v>Ricardo.Contreras@aptiv.com</v>
      </c>
      <c r="K5" s="14" t="str">
        <f>IF(ISBLANK(A5),"",IFERROR(VLOOKUP(E5,REQUESTORS!A:B,2,FALSE),"Req. No registrado"))</f>
        <v>lesly.jassel.meza@aptiv.com</v>
      </c>
      <c r="L5" s="14" t="str">
        <f>IF(ISBLANK(A5),"",VLOOKUP(D5,BUYER!A:C,3,FALSE))</f>
        <v>emma.garcia@aptiv.com</v>
      </c>
      <c r="N5" s="15"/>
      <c r="O5" s="15" t="s">
        <v>3176</v>
      </c>
      <c r="P5" s="29" t="s">
        <v>3151</v>
      </c>
      <c r="Q5" s="29"/>
      <c r="R5" s="20">
        <f>COUNTA(A:A)-1</f>
        <v>13</v>
      </c>
    </row>
    <row r="6" spans="1:20" x14ac:dyDescent="0.25">
      <c r="A6" s="14">
        <v>56658064</v>
      </c>
      <c r="B6" s="14" t="s">
        <v>3194</v>
      </c>
      <c r="C6" s="14">
        <v>1022831</v>
      </c>
      <c r="D6" s="14">
        <v>390</v>
      </c>
      <c r="E6" s="14" t="s">
        <v>2499</v>
      </c>
      <c r="F6" s="18" t="s">
        <v>3209</v>
      </c>
      <c r="G6" s="14" t="str">
        <f>IF(ISBLANK(A6),"",IFERROR(VLOOKUP(C6,SUPPLIERS!A:B,2,FALSE),"VENDOR NO REGISTRADO"))</f>
        <v>APTIV SERVICES US, LLC</v>
      </c>
      <c r="H6" s="16" t="str">
        <f>IF(ISBLANK(A6),"",IFERROR(IF(VLOOKUP(G6,suppliers_s!A:A,1,FALSE)=G6,"S","R"),"R"))</f>
        <v>S</v>
      </c>
      <c r="I6" s="26">
        <f>IF(ISBLANK(A6),"",IFERROR(VLOOKUP(C6,SUPPLIERS!A:C,3,FALSE),"No vendor"))</f>
        <v>118293427</v>
      </c>
      <c r="J6" s="14" t="str">
        <f>IF(ISBLANK(A6),"",IFERROR(IF(VLOOKUP(C6,SUPPLIERS!A:D,4,FALSE)=0,"NO CORREO",VLOOKUP(C6,SUPPLIERS!A:D,4,FALSE)),"NO VENDOR"))</f>
        <v>Ricardo.Contreras@aptiv.com</v>
      </c>
      <c r="K6" s="14" t="str">
        <f>IF(ISBLANK(A6),"",IFERROR(VLOOKUP(E6,REQUESTORS!A:B,2,FALSE),"Req. No registrado"))</f>
        <v>lesly.jassel.meza@aptiv.com</v>
      </c>
      <c r="L6" s="14" t="str">
        <f>IF(ISBLANK(A6),"",VLOOKUP(D6,BUYER!A:C,3,FALSE))</f>
        <v>emma.garcia@aptiv.com</v>
      </c>
      <c r="N6" s="15" t="s">
        <v>3211</v>
      </c>
      <c r="O6" s="15" t="s">
        <v>3176</v>
      </c>
    </row>
    <row r="7" spans="1:20" x14ac:dyDescent="0.25">
      <c r="A7" s="14">
        <v>56658065</v>
      </c>
      <c r="B7" s="14" t="s">
        <v>3195</v>
      </c>
      <c r="C7" s="14">
        <v>1068327</v>
      </c>
      <c r="D7" s="14">
        <v>390</v>
      </c>
      <c r="E7" s="14" t="s">
        <v>2548</v>
      </c>
      <c r="F7" s="18" t="s">
        <v>3209</v>
      </c>
      <c r="G7" s="14" t="str">
        <f>IF(ISBLANK(A7),"",IFERROR(VLOOKUP(C7,SUPPLIERS!A:B,2,FALSE),"VENDOR NO REGISTRADO"))</f>
        <v>APTIV INTL OPS LUXEMBOURG HONDURAS</v>
      </c>
      <c r="H7" s="16" t="str">
        <f>IF(ISBLANK(A7),"",IFERROR(IF(VLOOKUP(G7,suppliers_s!A:A,1,FALSE)=G7,"S","R"),"R"))</f>
        <v>S</v>
      </c>
      <c r="I7" s="26">
        <f>IF(ISBLANK(A7),"",IFERROR(VLOOKUP(C7,SUPPLIERS!A:C,3,FALSE),"No vendor"))</f>
        <v>999104266</v>
      </c>
      <c r="J7" s="14" t="str">
        <f>IF(ISBLANK(A7),"",IFERROR(IF(VLOOKUP(C7,SUPPLIERS!A:D,4,FALSE)=0,"NO CORREO",VLOOKUP(C7,SUPPLIERS!A:D,4,FALSE)),"NO VENDOR"))</f>
        <v>Ana.Isabel.Enamorado.Torres@aptiv.com</v>
      </c>
      <c r="K7" s="14" t="str">
        <f>IF(ISBLANK(A7),"",IFERROR(VLOOKUP(E7,REQUESTORS!A:B,2,FALSE),"Req. No registrado"))</f>
        <v>Leonardo.Alejandro.Ramirez@aptiv.com</v>
      </c>
      <c r="L7" s="14" t="str">
        <f>IF(ISBLANK(A7),"",VLOOKUP(D7,BUYER!A:C,3,FALSE))</f>
        <v>emma.garcia@aptiv.com</v>
      </c>
      <c r="N7" s="15" t="s">
        <v>3213</v>
      </c>
      <c r="O7" s="15" t="s">
        <v>3176</v>
      </c>
    </row>
    <row r="8" spans="1:20" x14ac:dyDescent="0.25">
      <c r="A8" s="14">
        <v>56658066</v>
      </c>
      <c r="B8" s="14" t="s">
        <v>3196</v>
      </c>
      <c r="C8" s="14">
        <v>1068327</v>
      </c>
      <c r="D8" s="14">
        <v>390</v>
      </c>
      <c r="E8" s="14" t="s">
        <v>2548</v>
      </c>
      <c r="F8" s="18" t="s">
        <v>3161</v>
      </c>
      <c r="G8" s="14" t="str">
        <f>IF(ISBLANK(A8),"",IFERROR(VLOOKUP(C8,SUPPLIERS!A:B,2,FALSE),"VENDOR NO REGISTRADO"))</f>
        <v>APTIV INTL OPS LUXEMBOURG HONDURAS</v>
      </c>
      <c r="H8" s="16" t="str">
        <f>IF(ISBLANK(A8),"",IFERROR(IF(VLOOKUP(G8,suppliers_s!A:A,1,FALSE)=G8,"S","R"),"R"))</f>
        <v>S</v>
      </c>
      <c r="I8" s="26">
        <f>IF(ISBLANK(A8),"",IFERROR(VLOOKUP(C8,SUPPLIERS!A:C,3,FALSE),"No vendor"))</f>
        <v>999104266</v>
      </c>
      <c r="J8" s="14" t="str">
        <f>IF(ISBLANK(A8),"",IFERROR(IF(VLOOKUP(C8,SUPPLIERS!A:D,4,FALSE)=0,"NO CORREO",VLOOKUP(C8,SUPPLIERS!A:D,4,FALSE)),"NO VENDOR"))</f>
        <v>Ana.Isabel.Enamorado.Torres@aptiv.com</v>
      </c>
      <c r="K8" s="14" t="str">
        <f>IF(ISBLANK(A8),"",IFERROR(VLOOKUP(E8,REQUESTORS!A:B,2,FALSE),"Req. No registrado"))</f>
        <v>Leonardo.Alejandro.Ramirez@aptiv.com</v>
      </c>
      <c r="L8" s="14" t="str">
        <f>IF(ISBLANK(A8),"",VLOOKUP(D8,BUYER!A:C,3,FALSE))</f>
        <v>emma.garcia@aptiv.com</v>
      </c>
      <c r="N8" s="15"/>
      <c r="O8" s="15" t="s">
        <v>3176</v>
      </c>
    </row>
    <row r="9" spans="1:20" x14ac:dyDescent="0.25">
      <c r="A9" s="14">
        <v>56658067</v>
      </c>
      <c r="B9" s="14" t="s">
        <v>3197</v>
      </c>
      <c r="C9" s="14">
        <v>1047207</v>
      </c>
      <c r="D9" s="14">
        <v>390</v>
      </c>
      <c r="E9" s="14" t="s">
        <v>2562</v>
      </c>
      <c r="F9" s="18" t="s">
        <v>3161</v>
      </c>
      <c r="G9" s="14" t="str">
        <f>IF(ISBLANK(A9),"",IFERROR(VLOOKUP(C9,SUPPLIERS!A:B,2,FALSE),"VENDOR NO REGISTRADO"))</f>
        <v>PROTO LABS, LIMITED</v>
      </c>
      <c r="H9" s="16" t="str">
        <f>IF(ISBLANK(A9),"",IFERROR(IF(VLOOKUP(G9,suppliers_s!A:A,1,FALSE)=G9,"S","R"),"R"))</f>
        <v>R</v>
      </c>
      <c r="I9" s="26">
        <f>IF(ISBLANK(A9),"",IFERROR(VLOOKUP(C9,SUPPLIERS!A:C,3,FALSE),"No vendor"))</f>
        <v>221137155</v>
      </c>
      <c r="J9" s="14" t="str">
        <f>IF(ISBLANK(A9),"",IFERROR(IF(VLOOKUP(C9,SUPPLIERS!A:D,4,FALSE)=0,"NO CORREO",VLOOKUP(C9,SUPPLIERS!A:D,4,FALSE)),"NO VENDOR"))</f>
        <v xml:space="preserve"> charles.pihl@protolabs.com</v>
      </c>
      <c r="K9" s="14" t="str">
        <f>IF(ISBLANK(A9),"",IFERROR(VLOOKUP(E9,REQUESTORS!A:B,2,FALSE),"Req. No registrado"))</f>
        <v>ruben.musso@aptiv.com</v>
      </c>
      <c r="L9" s="14" t="str">
        <f>IF(ISBLANK(A9),"",VLOOKUP(D9,BUYER!A:C,3,FALSE))</f>
        <v>emma.garcia@aptiv.com</v>
      </c>
      <c r="N9" s="15"/>
      <c r="O9" s="15" t="s">
        <v>3176</v>
      </c>
    </row>
    <row r="10" spans="1:20" x14ac:dyDescent="0.25">
      <c r="A10" s="14">
        <v>56658069</v>
      </c>
      <c r="B10" s="14" t="s">
        <v>3202</v>
      </c>
      <c r="C10" s="14">
        <v>1054596</v>
      </c>
      <c r="D10" s="14">
        <v>390</v>
      </c>
      <c r="E10" s="14" t="s">
        <v>2490</v>
      </c>
      <c r="F10" s="18" t="s">
        <v>3161</v>
      </c>
      <c r="G10" s="14" t="str">
        <f>IF(ISBLANK(A10),"",IFERROR(VLOOKUP(C10,SUPPLIERS!A:B,2,FALSE),"VENDOR NO REGISTRADO"))</f>
        <v>RELATS MEXICO, S.A. DE C.V.</v>
      </c>
      <c r="H10" s="16" t="str">
        <f>IF(ISBLANK(A10),"",IFERROR(IF(VLOOKUP(G10,suppliers_s!A:A,1,FALSE)=G10,"S","R"),"R"))</f>
        <v>S</v>
      </c>
      <c r="I10" s="26">
        <f>IF(ISBLANK(A10),"",IFERROR(VLOOKUP(C10,SUPPLIERS!A:C,3,FALSE),"No vendor"))</f>
        <v>814605234</v>
      </c>
      <c r="J10" s="14" t="str">
        <f>IF(ISBLANK(A10),"",IFERROR(IF(VLOOKUP(C10,SUPPLIERS!A:D,4,FALSE)=0,"NO CORREO",VLOOKUP(C10,SUPPLIERS!A:D,4,FALSE)),"NO VENDOR"))</f>
        <v xml:space="preserve">hmacias@relats.com;                        fleyva@relats.com </v>
      </c>
      <c r="K10" s="14" t="str">
        <f>IF(ISBLANK(A10),"",IFERROR(VLOOKUP(E10,REQUESTORS!A:B,2,FALSE),"Req. No registrado"))</f>
        <v>gabriela.simental@aptiv.com</v>
      </c>
      <c r="L10" s="14" t="str">
        <f>IF(ISBLANK(A10),"",VLOOKUP(D10,BUYER!A:C,3,FALSE))</f>
        <v>emma.garcia@aptiv.com</v>
      </c>
      <c r="M10" s="33" t="s">
        <v>3208</v>
      </c>
      <c r="N10" s="15"/>
      <c r="O10" s="15" t="s">
        <v>3176</v>
      </c>
    </row>
    <row r="11" spans="1:20" x14ac:dyDescent="0.25">
      <c r="A11" s="14">
        <v>56658070</v>
      </c>
      <c r="B11" s="14" t="s">
        <v>3203</v>
      </c>
      <c r="C11" s="14">
        <v>1052677</v>
      </c>
      <c r="D11" s="14">
        <v>390</v>
      </c>
      <c r="E11" s="14" t="s">
        <v>2490</v>
      </c>
      <c r="F11" s="18" t="s">
        <v>3209</v>
      </c>
      <c r="G11" s="14" t="str">
        <f>IF(ISBLANK(A11),"",IFERROR(VLOOKUP(C11,SUPPLIERS!A:B,2,FALSE),"VENDOR NO REGISTRADO"))</f>
        <v>CHIEF ENTERPRISES MEXICO, S. DE R.L</v>
      </c>
      <c r="H11" s="16" t="str">
        <f>IF(ISBLANK(A11),"",IFERROR(IF(VLOOKUP(G11,suppliers_s!A:A,1,FALSE)=G11,"S","R"),"R"))</f>
        <v>S</v>
      </c>
      <c r="I11" s="26">
        <f>IF(ISBLANK(A11),"",IFERROR(VLOOKUP(C11,SUPPLIERS!A:C,3,FALSE),"No vendor"))</f>
        <v>813205457</v>
      </c>
      <c r="J11" s="14" t="str">
        <f>IF(ISBLANK(A11),"",IFERROR(IF(VLOOKUP(C11,SUPPLIERS!A:D,4,FALSE)=0,"NO CORREO",VLOOKUP(C11,SUPPLIERS!A:D,4,FALSE)),"NO VENDOR"))</f>
        <v>tholland@chiefent.com</v>
      </c>
      <c r="K11" s="14" t="str">
        <f>IF(ISBLANK(A11),"",IFERROR(VLOOKUP(E11,REQUESTORS!A:B,2,FALSE),"Req. No registrado"))</f>
        <v>gabriela.simental@aptiv.com</v>
      </c>
      <c r="L11" s="14" t="str">
        <f>IF(ISBLANK(A11),"",VLOOKUP(D11,BUYER!A:C,3,FALSE))</f>
        <v>emma.garcia@aptiv.com</v>
      </c>
      <c r="M11" s="33" t="s">
        <v>3208</v>
      </c>
      <c r="N11" s="15" t="s">
        <v>3214</v>
      </c>
      <c r="O11" s="15" t="s">
        <v>3176</v>
      </c>
    </row>
    <row r="12" spans="1:20" x14ac:dyDescent="0.25">
      <c r="A12" s="14">
        <v>56658071</v>
      </c>
      <c r="B12" s="14" t="s">
        <v>3204</v>
      </c>
      <c r="C12" s="14">
        <v>1014170</v>
      </c>
      <c r="D12" s="17">
        <v>390</v>
      </c>
      <c r="E12" s="14" t="s">
        <v>2490</v>
      </c>
      <c r="F12" s="18" t="s">
        <v>3161</v>
      </c>
      <c r="G12" s="14" t="str">
        <f>IF(ISBLANK(A12),"",IFERROR(VLOOKUP(C12,SUPPLIERS!A:B,2,FALSE),"VENDOR NO REGISTRADO"))</f>
        <v>REGENCY PLASTICS - UBLY, INC.</v>
      </c>
      <c r="H12" s="16" t="str">
        <f>IF(ISBLANK(A12),"",IFERROR(IF(VLOOKUP(G12,suppliers_s!A:A,1,FALSE)=G12,"S","R"),"R"))</f>
        <v>R</v>
      </c>
      <c r="I12" s="26">
        <f>IF(ISBLANK(A12),"",IFERROR(VLOOKUP(C12,SUPPLIERS!A:C,3,FALSE),"No vendor"))</f>
        <v>933384125</v>
      </c>
      <c r="J12" s="14" t="str">
        <f>IF(ISBLANK(A12),"",IFERROR(IF(VLOOKUP(C12,SUPPLIERS!A:D,4,FALSE)=0,"NO CORREO",VLOOKUP(C12,SUPPLIERS!A:D,4,FALSE)),"NO VENDOR"))</f>
        <v>AGonzalez@geminigroup.net</v>
      </c>
      <c r="K12" s="14" t="str">
        <f>IF(ISBLANK(A12),"",IFERROR(VLOOKUP(E12,REQUESTORS!A:B,2,FALSE),"Req. No registrado"))</f>
        <v>gabriela.simental@aptiv.com</v>
      </c>
      <c r="L12" s="14" t="str">
        <f>IF(ISBLANK(A12),"",VLOOKUP(D12,BUYER!A:C,3,FALSE))</f>
        <v>emma.garcia@aptiv.com</v>
      </c>
      <c r="M12" s="33" t="s">
        <v>3208</v>
      </c>
      <c r="N12" s="15"/>
      <c r="O12" s="15" t="s">
        <v>3176</v>
      </c>
    </row>
    <row r="13" spans="1:20" x14ac:dyDescent="0.25">
      <c r="A13" s="14">
        <v>56658059</v>
      </c>
      <c r="B13" s="15" t="s">
        <v>3215</v>
      </c>
      <c r="C13" s="14">
        <v>1090240</v>
      </c>
      <c r="D13" s="18">
        <v>396</v>
      </c>
      <c r="E13" s="17" t="s">
        <v>2499</v>
      </c>
      <c r="F13" s="18" t="s">
        <v>3161</v>
      </c>
      <c r="G13" s="14" t="str">
        <f>IF(ISBLANK(A13),"",IFERROR(VLOOKUP(C13,SUPPLIERS!A:B,2,FALSE),"VENDOR NO REGISTRADO"))</f>
        <v>INTERNATIONAL PLATING SERVICE LLC</v>
      </c>
      <c r="H13" s="16" t="str">
        <f>IF(ISBLANK(A13),"",IFERROR(IF(VLOOKUP(G13,suppliers_s!A:A,1,FALSE)=G13,"S","R"),"R"))</f>
        <v>R</v>
      </c>
      <c r="I13" s="26">
        <f>IF(ISBLANK(A13),"",IFERROR(VLOOKUP(C13,SUPPLIERS!A:C,3,FALSE),"No vendor"))</f>
        <v>0</v>
      </c>
      <c r="J13" s="14" t="str">
        <f>IF(ISBLANK(A13),"",IFERROR(IF(VLOOKUP(C13,SUPPLIERS!A:D,4,FALSE)=0,"NO CORREO",VLOOKUP(C13,SUPPLIERS!A:D,4,FALSE)),"NO VENDOR"))</f>
        <v>jgarcia@platinadorabaja.com</v>
      </c>
      <c r="K13" s="14" t="str">
        <f>IF(ISBLANK(A13),"",IFERROR(VLOOKUP(E13,REQUESTORS!A:B,2,FALSE),"Req. No registrado"))</f>
        <v>lesly.jassel.meza@aptiv.com</v>
      </c>
      <c r="L13" s="14" t="str">
        <f>IF(ISBLANK(A13),"",VLOOKUP(D13,BUYER!A:C,3,FALSE))</f>
        <v>cesar.adrian.munoz@aptiv.com</v>
      </c>
      <c r="O13" s="15" t="s">
        <v>3176</v>
      </c>
    </row>
    <row r="14" spans="1:20" x14ac:dyDescent="0.25">
      <c r="A14" s="14">
        <v>56658090</v>
      </c>
      <c r="B14" s="15" t="s">
        <v>3216</v>
      </c>
      <c r="C14" s="14">
        <v>1009355</v>
      </c>
      <c r="D14" s="17">
        <v>390</v>
      </c>
      <c r="E14" s="17" t="s">
        <v>2549</v>
      </c>
      <c r="F14" s="18" t="s">
        <v>3161</v>
      </c>
      <c r="G14" s="14" t="str">
        <f>IF(ISBLANK(A14),"",IFERROR(VLOOKUP(C14,SUPPLIERS!A:B,2,FALSE),"VENDOR NO REGISTRADO"))</f>
        <v>DELFINGEN US-TEXAS, L.P.</v>
      </c>
      <c r="H14" s="16" t="str">
        <f>IF(ISBLANK(A14),"",IFERROR(IF(VLOOKUP(G14,suppliers_s!A:A,1,FALSE)=G14,"S","R"),"R"))</f>
        <v>R</v>
      </c>
      <c r="I14" s="26">
        <f>IF(ISBLANK(A14),"",IFERROR(VLOOKUP(C14,SUPPLIERS!A:C,3,FALSE),"No vendor"))</f>
        <v>44027352</v>
      </c>
      <c r="J14" s="14" t="str">
        <f>IF(ISBLANK(A14),"",IFERROR(IF(VLOOKUP(C14,SUPPLIERS!A:D,4,FALSE)=0,"NO CORREO",VLOOKUP(C14,SUPPLIERS!A:D,4,FALSE)),"NO VENDOR"))</f>
        <v>smedina@delfingen.com</v>
      </c>
      <c r="K14" s="14" t="str">
        <f>IF(ISBLANK(A14),"",IFERROR(VLOOKUP(E14,REQUESTORS!A:B,2,FALSE),"Req. No registrado"))</f>
        <v>rene.arellano.2@aptiv.com</v>
      </c>
      <c r="L14" s="14" t="str">
        <f>IF(ISBLANK(A14),"",VLOOKUP(D14,BUYER!A:C,3,FALSE))</f>
        <v>emma.garcia@aptiv.com</v>
      </c>
      <c r="O14" s="15" t="s">
        <v>3176</v>
      </c>
    </row>
    <row r="15" spans="1:20" x14ac:dyDescent="0.25">
      <c r="B15" s="15"/>
      <c r="D15" s="17"/>
      <c r="E15" s="17"/>
      <c r="F15" s="18"/>
      <c r="G15" s="14" t="str">
        <f>IF(ISBLANK(A15),"",IFERROR(VLOOKUP(C15,SUPPLIERS!A:B,2,FALSE),"VENDOR NO REGISTRADO"))</f>
        <v/>
      </c>
      <c r="H15" s="16" t="str">
        <f>IF(ISBLANK(A15),"",IFERROR(IF(VLOOKUP(G15,suppliers_s!A:A,1,FALSE)=G15,"S","R"),"R"))</f>
        <v/>
      </c>
      <c r="I15" s="26" t="str">
        <f>IF(ISBLANK(A15),"",IFERROR(VLOOKUP(C15,SUPPLIERS!A:C,3,FALSE),"No vendor"))</f>
        <v/>
      </c>
      <c r="J15" s="14" t="str">
        <f>IF(ISBLANK(A15),"",IFERROR(IF(VLOOKUP(C15,SUPPLIERS!A:D,4,FALSE)=0,"NO CORREO",VLOOKUP(C15,SUPPLIERS!A:D,4,FALSE)),"NO VENDOR"))</f>
        <v/>
      </c>
      <c r="K15" s="14" t="str">
        <f>IF(ISBLANK(A15),"",IFERROR(VLOOKUP(E15,REQUESTORS!A:B,2,FALSE),"Req. No registrado"))</f>
        <v/>
      </c>
      <c r="L15" s="14" t="str">
        <f>IF(ISBLANK(A15),"",VLOOKUP(D15,BUYER!A:C,3,FALSE))</f>
        <v/>
      </c>
      <c r="O15" s="15" t="s">
        <v>3176</v>
      </c>
      <c r="Q15" s="23"/>
      <c r="R15" s="23"/>
    </row>
    <row r="16" spans="1:20" x14ac:dyDescent="0.25">
      <c r="B16" s="15"/>
      <c r="D16" s="17"/>
      <c r="E16" s="17"/>
      <c r="F16" s="18"/>
      <c r="G16" s="14" t="str">
        <f>IF(ISBLANK(A16),"",IFERROR(VLOOKUP(C16,SUPPLIERS!A:B,2,FALSE),"VENDOR NO REGISTRADO"))</f>
        <v/>
      </c>
      <c r="H16" s="16" t="str">
        <f>IF(ISBLANK(A16),"",IFERROR(IF(VLOOKUP(G16,suppliers_s!A:A,1,FALSE)=G16,"S","R"),"R"))</f>
        <v/>
      </c>
      <c r="I16" s="26" t="str">
        <f>IF(ISBLANK(A16),"",IFERROR(VLOOKUP(C16,SUPPLIERS!A:C,3,FALSE),"No vendor"))</f>
        <v/>
      </c>
      <c r="J16" s="14" t="str">
        <f>IF(ISBLANK(A16),"",IFERROR(IF(VLOOKUP(C16,SUPPLIERS!A:D,4,FALSE)=0,"NO CORREO",VLOOKUP(C16,SUPPLIERS!A:D,4,FALSE)),"NO VENDOR"))</f>
        <v/>
      </c>
      <c r="K16" s="14" t="str">
        <f>IF(ISBLANK(A16),"",IFERROR(VLOOKUP(E16,REQUESTORS!A:B,2,FALSE),"Req. No registrado"))</f>
        <v/>
      </c>
      <c r="L16" s="14" t="str">
        <f>IF(ISBLANK(A16),"",VLOOKUP(D16,BUYER!A:C,3,FALSE))</f>
        <v/>
      </c>
      <c r="O16" s="15" t="s">
        <v>3176</v>
      </c>
      <c r="Q16" s="23"/>
      <c r="R16" s="22"/>
    </row>
    <row r="17" spans="1:18" x14ac:dyDescent="0.25">
      <c r="B17" s="15"/>
      <c r="D17" s="17"/>
      <c r="E17" s="17"/>
      <c r="F17" s="18"/>
      <c r="G17" s="14" t="str">
        <f>IF(ISBLANK(A17),"",IFERROR(VLOOKUP(C17,SUPPLIERS!A:B,2,FALSE),"VENDOR NO REGISTRADO"))</f>
        <v/>
      </c>
      <c r="H17" s="16" t="str">
        <f>IF(ISBLANK(A17),"",IFERROR(IF(VLOOKUP(G17,suppliers_s!A:A,1,FALSE)=G17,"S","R"),"R"))</f>
        <v/>
      </c>
      <c r="I17" s="26" t="str">
        <f>IF(ISBLANK(A17),"",IFERROR(VLOOKUP(C17,SUPPLIERS!A:C,3,FALSE),"No vendor"))</f>
        <v/>
      </c>
      <c r="J17" s="14" t="str">
        <f>IF(ISBLANK(A17),"",IFERROR(IF(VLOOKUP(C17,SUPPLIERS!A:D,4,FALSE)=0,"NO CORREO",VLOOKUP(C17,SUPPLIERS!A:D,4,FALSE)),"NO VENDOR"))</f>
        <v/>
      </c>
      <c r="K17" s="14" t="str">
        <f>IF(ISBLANK(A17),"",IFERROR(VLOOKUP(E17,REQUESTORS!A:B,2,FALSE),"Req. No registrado"))</f>
        <v/>
      </c>
      <c r="L17" s="14" t="str">
        <f>IF(ISBLANK(A17),"",VLOOKUP(D17,BUYER!A:C,3,FALSE))</f>
        <v/>
      </c>
      <c r="O17" s="15" t="s">
        <v>3176</v>
      </c>
      <c r="Q17" s="22"/>
      <c r="R17" s="22"/>
    </row>
    <row r="18" spans="1:18" ht="13" x14ac:dyDescent="0.25">
      <c r="B18" s="15"/>
      <c r="D18" s="17"/>
      <c r="E18" s="17"/>
      <c r="F18" s="18"/>
      <c r="G18" s="14" t="str">
        <f>IF(ISBLANK(A18),"",IFERROR(VLOOKUP(C18,SUPPLIERS!A:B,2,FALSE),"VENDOR NO REGISTRADO"))</f>
        <v/>
      </c>
      <c r="H18" s="16" t="str">
        <f>IF(ISBLANK(A18),"",IFERROR(IF(VLOOKUP(G18,suppliers_s!A:A,1,FALSE)=G18,"S","R"),"R"))</f>
        <v/>
      </c>
      <c r="I18" s="26" t="str">
        <f>IF(ISBLANK(A18),"",IFERROR(VLOOKUP(C18,SUPPLIERS!A:C,3,FALSE),"No vendor"))</f>
        <v/>
      </c>
      <c r="J18" s="14" t="str">
        <f>IF(ISBLANK(A18),"",IFERROR(IF(VLOOKUP(C18,SUPPLIERS!A:D,4,FALSE)=0,"NO CORREO",VLOOKUP(C18,SUPPLIERS!A:D,4,FALSE)),"NO VENDOR"))</f>
        <v/>
      </c>
      <c r="K18" s="14" t="str">
        <f>IF(ISBLANK(A18),"",IFERROR(VLOOKUP(E18,REQUESTORS!A:B,2,FALSE),"Req. No registrado"))</f>
        <v/>
      </c>
      <c r="L18" s="14" t="str">
        <f>IF(ISBLANK(A18),"",VLOOKUP(D18,BUYER!A:C,3,FALSE))</f>
        <v/>
      </c>
      <c r="O18" s="15" t="s">
        <v>3176</v>
      </c>
      <c r="Q18" s="21" t="s">
        <v>3163</v>
      </c>
      <c r="R18" s="24">
        <f ca="1">TODAY()</f>
        <v>45309</v>
      </c>
    </row>
    <row r="19" spans="1:18" x14ac:dyDescent="0.25">
      <c r="D19" s="17"/>
      <c r="E19" s="17"/>
      <c r="F19" s="17"/>
      <c r="G19" s="14" t="str">
        <f>IF(ISBLANK(A19),"",IFERROR(VLOOKUP(C19,SUPPLIERS!A:B,2,FALSE),"VENDOR NO REGISTRADO"))</f>
        <v/>
      </c>
      <c r="H19" s="16" t="str">
        <f>IF(ISBLANK(A19),"",IFERROR(IF(VLOOKUP(G19,suppliers_s!A:A,1,FALSE)=G19,"S","R"),"R"))</f>
        <v/>
      </c>
      <c r="I19" s="26" t="str">
        <f>IF(ISBLANK(A19),"",IFERROR(VLOOKUP(C19,SUPPLIERS!A:C,3,FALSE),"No vendor"))</f>
        <v/>
      </c>
      <c r="J19" s="14" t="str">
        <f>IF(ISBLANK(A19),"",IFERROR(IF(VLOOKUP(C19,SUPPLIERS!A:D,4,FALSE)=0,"NO CORREO",VLOOKUP(C19,SUPPLIERS!A:D,4,FALSE)),"NO VENDOR"))</f>
        <v/>
      </c>
      <c r="K19" s="14" t="str">
        <f>IF(ISBLANK(A19),"",IFERROR(VLOOKUP(E19,REQUESTORS!A:B,2,FALSE),"Req. No registrado"))</f>
        <v/>
      </c>
      <c r="L19" s="14" t="str">
        <f>IF(ISBLANK(A19),"",VLOOKUP(D19,BUYER!A:C,3,FALSE))</f>
        <v/>
      </c>
    </row>
    <row r="20" spans="1:18" x14ac:dyDescent="0.25">
      <c r="D20" s="17"/>
      <c r="E20" s="17"/>
      <c r="F20" s="17"/>
      <c r="G20" s="14" t="str">
        <f>IF(ISBLANK(A20),"",IFERROR(VLOOKUP(C20,SUPPLIERS!A:B,2,FALSE),"VENDOR NO REGISTRADO"))</f>
        <v/>
      </c>
      <c r="H20" s="16" t="str">
        <f>IF(ISBLANK(A20),"",IFERROR(IF(VLOOKUP(G20,suppliers_s!A:A,1,FALSE)=G20,"S","R"),"R"))</f>
        <v/>
      </c>
      <c r="I20" s="26" t="str">
        <f>IF(ISBLANK(A20),"",IFERROR(VLOOKUP(C20,SUPPLIERS!A:C,3,FALSE),"No vendor"))</f>
        <v/>
      </c>
      <c r="J20" s="14" t="str">
        <f>IF(ISBLANK(A20),"",IFERROR(IF(VLOOKUP(C20,SUPPLIERS!A:D,4,FALSE)=0,"NO CORREO",VLOOKUP(C20,SUPPLIERS!A:D,4,FALSE)),"NO VENDOR"))</f>
        <v/>
      </c>
      <c r="K20" s="14" t="str">
        <f>IF(ISBLANK(A20),"",IFERROR(VLOOKUP(E20,REQUESTORS!A:B,2,FALSE),"Req. No registrado"))</f>
        <v/>
      </c>
      <c r="L20" s="14" t="str">
        <f>IF(ISBLANK(A20),"",VLOOKUP(D20,BUYER!A:C,3,FALSE))</f>
        <v/>
      </c>
    </row>
    <row r="21" spans="1:18" x14ac:dyDescent="0.25">
      <c r="D21" s="17"/>
      <c r="E21" s="17"/>
      <c r="F21" s="17"/>
      <c r="G21" s="14" t="str">
        <f>IF(ISBLANK(A21),"",IFERROR(VLOOKUP(C21,SUPPLIERS!A:B,2,FALSE),"VENDOR NO REGISTRADO"))</f>
        <v/>
      </c>
      <c r="H21" s="16" t="str">
        <f>IF(ISBLANK(A21),"",IFERROR(IF(VLOOKUP(G21,suppliers_s!A:A,1,FALSE)=G21,"S","R"),"R"))</f>
        <v/>
      </c>
      <c r="I21" s="26" t="str">
        <f>IF(ISBLANK(A21),"",IFERROR(VLOOKUP(C21,SUPPLIERS!A:C,3,FALSE),"No vendor"))</f>
        <v/>
      </c>
      <c r="J21" s="14" t="str">
        <f>IF(ISBLANK(A21),"",IFERROR(IF(VLOOKUP(C21,SUPPLIERS!A:D,4,FALSE)=0,"NO CORREO",VLOOKUP(C21,SUPPLIERS!A:D,4,FALSE)),"NO VENDOR"))</f>
        <v/>
      </c>
      <c r="K21" s="14" t="str">
        <f>IF(ISBLANK(A21),"",IFERROR(VLOOKUP(E21,REQUESTORS!A:B,2,FALSE),"Req. No registrado"))</f>
        <v/>
      </c>
      <c r="L21" s="14" t="str">
        <f>IF(ISBLANK(A21),"",VLOOKUP(D21,BUYER!A:C,3,FALSE))</f>
        <v/>
      </c>
    </row>
    <row r="22" spans="1:18" x14ac:dyDescent="0.25">
      <c r="D22" s="17"/>
      <c r="E22" s="17"/>
      <c r="F22" s="17"/>
      <c r="G22" s="14" t="str">
        <f>IF(ISBLANK(A22),"",IFERROR(VLOOKUP(C22,SUPPLIERS!A:B,2,FALSE),"VENDOR NO REGISTRADO"))</f>
        <v/>
      </c>
      <c r="H22" s="16" t="str">
        <f>IF(ISBLANK(A22),"",IFERROR(IF(VLOOKUP(G22,suppliers_s!A:A,1,FALSE)=G22,"S","R"),"R"))</f>
        <v/>
      </c>
      <c r="I22" s="26" t="str">
        <f>IF(ISBLANK(A22),"",IFERROR(VLOOKUP(C22,SUPPLIERS!A:C,3,FALSE),"No vendor"))</f>
        <v/>
      </c>
      <c r="J22" s="14" t="str">
        <f>IF(ISBLANK(A22),"",IFERROR(IF(VLOOKUP(C22,SUPPLIERS!A:D,4,FALSE)=0,"NO CORREO",VLOOKUP(C22,SUPPLIERS!A:D,4,FALSE)),"NO VENDOR"))</f>
        <v/>
      </c>
      <c r="K22" s="14" t="str">
        <f>IF(ISBLANK(A22),"",IFERROR(VLOOKUP(E22,REQUESTORS!A:B,2,FALSE),"Req. No registrado"))</f>
        <v/>
      </c>
      <c r="L22" s="14" t="str">
        <f>IF(ISBLANK(A22),"",VLOOKUP(D22,BUYER!A:C,3,FALSE))</f>
        <v/>
      </c>
    </row>
    <row r="23" spans="1:18" x14ac:dyDescent="0.25">
      <c r="D23" s="17"/>
      <c r="E23" s="17"/>
      <c r="F23" s="17"/>
      <c r="G23" s="14" t="str">
        <f>IF(ISBLANK(A23),"",IFERROR(VLOOKUP(C23,SUPPLIERS!A:B,2,FALSE),"VENDOR NO REGISTRADO"))</f>
        <v/>
      </c>
      <c r="H23" s="16" t="str">
        <f>IF(ISBLANK(A23),"",IFERROR(IF(VLOOKUP(G23,suppliers_s!A:A,1,FALSE)=G23,"S","R"),"R"))</f>
        <v/>
      </c>
      <c r="I23" s="26" t="str">
        <f>IF(ISBLANK(A23),"",IFERROR(VLOOKUP(C23,SUPPLIERS!A:C,3,FALSE),"No vendor"))</f>
        <v/>
      </c>
      <c r="J23" s="14" t="str">
        <f>IF(ISBLANK(A23),"",IFERROR(IF(VLOOKUP(C23,SUPPLIERS!A:D,4,FALSE)=0,"NO CORREO",VLOOKUP(C23,SUPPLIERS!A:D,4,FALSE)),"NO VENDOR"))</f>
        <v/>
      </c>
      <c r="K23" s="14" t="str">
        <f>IF(ISBLANK(A23),"",IFERROR(VLOOKUP(E23,REQUESTORS!A:B,2,FALSE),"Req. No registrado"))</f>
        <v/>
      </c>
      <c r="L23" s="14" t="str">
        <f>IF(ISBLANK(A23),"",VLOOKUP(D23,BUYER!A:C,3,FALSE))</f>
        <v/>
      </c>
      <c r="Q23" s="23" t="s">
        <v>2913</v>
      </c>
      <c r="R23" s="22" t="s">
        <v>3153</v>
      </c>
    </row>
    <row r="24" spans="1:18" x14ac:dyDescent="0.25">
      <c r="D24" s="17"/>
      <c r="E24" s="17"/>
      <c r="F24" s="17"/>
      <c r="G24" s="14" t="str">
        <f>IF(ISBLANK(A24),"",IFERROR(VLOOKUP(C24,SUPPLIERS!A:B,2,FALSE),"VENDOR NO REGISTRADO"))</f>
        <v/>
      </c>
      <c r="H24" s="16" t="str">
        <f>IF(ISBLANK(A24),"",IFERROR(IF(VLOOKUP(G24,suppliers_s!A:A,1,FALSE)=G24,"S","R"),"R"))</f>
        <v/>
      </c>
      <c r="I24" s="26" t="str">
        <f>IF(ISBLANK(A24),"",IFERROR(VLOOKUP(C24,SUPPLIERS!A:C,3,FALSE),"No vendor"))</f>
        <v/>
      </c>
      <c r="J24" s="14" t="str">
        <f>IF(ISBLANK(A24),"",IFERROR(IF(VLOOKUP(C24,SUPPLIERS!A:D,4,FALSE)=0,"NO CORREO",VLOOKUP(C24,SUPPLIERS!A:D,4,FALSE)),"NO VENDOR"))</f>
        <v/>
      </c>
      <c r="K24" s="14" t="str">
        <f>IF(ISBLANK(A24),"",IFERROR(VLOOKUP(E24,REQUESTORS!A:B,2,FALSE),"Req. No registrado"))</f>
        <v/>
      </c>
      <c r="L24" s="14" t="str">
        <f>IF(ISBLANK(A24),"",VLOOKUP(D24,BUYER!A:C,3,FALSE))</f>
        <v/>
      </c>
      <c r="Q24" s="22" t="s">
        <v>3167</v>
      </c>
      <c r="R24" s="22" t="s">
        <v>3156</v>
      </c>
    </row>
    <row r="25" spans="1:18" x14ac:dyDescent="0.25">
      <c r="D25" s="17"/>
      <c r="E25" s="17"/>
      <c r="F25" s="17"/>
      <c r="G25" s="14" t="str">
        <f>IF(ISBLANK(A25),"",IFERROR(VLOOKUP(C25,SUPPLIERS!A:B,2,FALSE),"VENDOR NO REGISTRADO"))</f>
        <v/>
      </c>
      <c r="H25" s="16" t="str">
        <f>IF(ISBLANK(A25),"",IFERROR(IF(VLOOKUP(G25,suppliers_s!A:A,1,FALSE)=G25,"S","R"),"R"))</f>
        <v/>
      </c>
      <c r="I25" s="26" t="str">
        <f>IF(ISBLANK(A25),"",IFERROR(VLOOKUP(C25,SUPPLIERS!A:C,3,FALSE),"No vendor"))</f>
        <v/>
      </c>
      <c r="J25" s="14" t="str">
        <f>IF(ISBLANK(A25),"",IFERROR(IF(VLOOKUP(C25,SUPPLIERS!A:D,4,FALSE)=0,"NO CORREO",VLOOKUP(C25,SUPPLIERS!A:D,4,FALSE)),"NO VENDOR"))</f>
        <v/>
      </c>
      <c r="K25" s="14" t="str">
        <f>IF(ISBLANK(A25),"",IFERROR(VLOOKUP(E25,REQUESTORS!A:B,2,FALSE),"Req. No registrado"))</f>
        <v/>
      </c>
      <c r="L25" s="14" t="str">
        <f>IF(ISBLANK(A25),"",VLOOKUP(D25,BUYER!A:C,3,FALSE))</f>
        <v/>
      </c>
      <c r="Q25" s="22" t="s">
        <v>3159</v>
      </c>
      <c r="R25" s="19" t="s">
        <v>3160</v>
      </c>
    </row>
    <row r="26" spans="1:18" x14ac:dyDescent="0.25">
      <c r="A26" s="17"/>
      <c r="B26" s="17"/>
      <c r="C26" s="17"/>
      <c r="D26" s="17"/>
      <c r="E26" s="17"/>
      <c r="F26" s="17"/>
      <c r="G26" s="14" t="str">
        <f>IF(ISBLANK(A26),"",IFERROR(VLOOKUP(C26,SUPPLIERS!A:B,2,FALSE),"VENDOR NO REGISTRADO"))</f>
        <v/>
      </c>
      <c r="H26" s="16" t="str">
        <f>IF(ISBLANK(A26),"",IFERROR(IF(VLOOKUP(G26,suppliers_s!A:A,1,FALSE)=G26,"S","R"),"R"))</f>
        <v/>
      </c>
      <c r="I26" s="26" t="str">
        <f>IF(ISBLANK(A26),"",IFERROR(VLOOKUP(C26,SUPPLIERS!A:C,3,FALSE),"No vendor"))</f>
        <v/>
      </c>
      <c r="J26" s="14" t="str">
        <f>IF(ISBLANK(A26),"",IFERROR(IF(VLOOKUP(C26,SUPPLIERS!A:D,4,FALSE)=0,"NO CORREO",VLOOKUP(C26,SUPPLIERS!A:D,4,FALSE)),"NO VENDOR"))</f>
        <v/>
      </c>
      <c r="K26" s="14" t="str">
        <f>IF(ISBLANK(A26),"",IFERROR(VLOOKUP(E26,REQUESTORS!A:B,2,FALSE),"Req. No registrado"))</f>
        <v/>
      </c>
      <c r="L26" s="14" t="str">
        <f>IF(ISBLANK(A26),"",VLOOKUP(D26,BUYER!A:C,3,FALSE))</f>
        <v/>
      </c>
      <c r="Q26" s="19" t="s">
        <v>3154</v>
      </c>
      <c r="R26" s="19" t="s">
        <v>3155</v>
      </c>
    </row>
    <row r="27" spans="1:18" x14ac:dyDescent="0.25">
      <c r="A27" s="17"/>
      <c r="B27" s="17"/>
      <c r="C27" s="17"/>
      <c r="D27" s="17"/>
      <c r="E27" s="17"/>
      <c r="F27" s="17"/>
      <c r="G27" s="14" t="str">
        <f>IF(ISBLANK(A27),"",IFERROR(VLOOKUP(C27,SUPPLIERS!A:B,2,FALSE),"VENDOR NO REGISTRADO"))</f>
        <v/>
      </c>
      <c r="H27" s="16" t="str">
        <f>IF(ISBLANK(A27),"",IFERROR(IF(VLOOKUP(G27,suppliers_s!A:A,1,FALSE)=G27,"S","R"),"R"))</f>
        <v/>
      </c>
      <c r="I27" s="26" t="str">
        <f>IF(ISBLANK(A27),"",IFERROR(VLOOKUP(C27,SUPPLIERS!A:C,3,FALSE),"No vendor"))</f>
        <v/>
      </c>
      <c r="J27" s="14" t="str">
        <f>IF(ISBLANK(A27),"",IFERROR(IF(VLOOKUP(C27,SUPPLIERS!A:D,4,FALSE)=0,"NO CORREO",VLOOKUP(C27,SUPPLIERS!A:D,4,FALSE)),"NO VENDOR"))</f>
        <v/>
      </c>
      <c r="K27" s="14" t="str">
        <f>IF(ISBLANK(A27),"",IFERROR(VLOOKUP(E27,REQUESTORS!A:B,2,FALSE),"Req. No registrado"))</f>
        <v/>
      </c>
      <c r="L27" s="14" t="str">
        <f>IF(ISBLANK(A27),"",VLOOKUP(D27,BUYER!A:C,3,FALSE))</f>
        <v/>
      </c>
      <c r="Q27" s="19" t="s">
        <v>3157</v>
      </c>
      <c r="R27" s="19" t="s">
        <v>3158</v>
      </c>
    </row>
    <row r="28" spans="1:18" x14ac:dyDescent="0.25">
      <c r="A28" s="17"/>
      <c r="B28" s="17"/>
      <c r="C28" s="17"/>
      <c r="D28" s="17"/>
      <c r="E28" s="17"/>
      <c r="F28" s="17"/>
      <c r="G28" s="14" t="str">
        <f>IF(ISBLANK(A28),"",IFERROR(VLOOKUP(C28,SUPPLIERS!A:B,2,FALSE),"VENDOR NO REGISTRADO"))</f>
        <v/>
      </c>
      <c r="H28" s="16" t="str">
        <f>IF(ISBLANK(A28),"",IFERROR(IF(VLOOKUP(G28,suppliers_s!A:A,1,FALSE)=G28,"S","R"),"R"))</f>
        <v/>
      </c>
      <c r="I28" s="26" t="str">
        <f>IF(ISBLANK(A28),"",IFERROR(VLOOKUP(C28,SUPPLIERS!A:C,3,FALSE),"No vendor"))</f>
        <v/>
      </c>
      <c r="J28" s="14" t="str">
        <f>IF(ISBLANK(A28),"",IFERROR(IF(VLOOKUP(C28,SUPPLIERS!A:D,4,FALSE)=0,"NO CORREO",VLOOKUP(C28,SUPPLIERS!A:D,4,FALSE)),"NO VENDOR"))</f>
        <v/>
      </c>
      <c r="K28" s="14" t="str">
        <f>IF(ISBLANK(A28),"",IFERROR(VLOOKUP(E28,REQUESTORS!A:B,2,FALSE),"Req. No registrado"))</f>
        <v/>
      </c>
      <c r="L28" s="14" t="str">
        <f>IF(ISBLANK(A28),"",VLOOKUP(D28,BUYER!A:C,3,FALSE))</f>
        <v/>
      </c>
    </row>
    <row r="29" spans="1:18" x14ac:dyDescent="0.25">
      <c r="A29" s="17"/>
      <c r="B29" s="17"/>
      <c r="C29" s="17"/>
      <c r="D29" s="17"/>
      <c r="E29" s="17"/>
      <c r="F29" s="17"/>
      <c r="G29" s="14" t="str">
        <f>IF(ISBLANK(A29),"",IFERROR(VLOOKUP(C29,SUPPLIERS!A:B,2,FALSE),"VENDOR NO REGISTRADO"))</f>
        <v/>
      </c>
      <c r="H29" s="16" t="str">
        <f>IF(ISBLANK(A29),"",IFERROR(IF(VLOOKUP(G29,suppliers_s!A:A,1,FALSE)=G29,"S","R"),"R"))</f>
        <v/>
      </c>
      <c r="I29" s="26" t="str">
        <f>IF(ISBLANK(A29),"",IFERROR(VLOOKUP(C29,SUPPLIERS!A:C,3,FALSE),"No vendor"))</f>
        <v/>
      </c>
      <c r="J29" s="14" t="str">
        <f>IF(ISBLANK(A29),"",IFERROR(IF(VLOOKUP(C29,SUPPLIERS!A:D,4,FALSE)=0,"NO CORREO",VLOOKUP(C29,SUPPLIERS!A:D,4,FALSE)),"NO VENDOR"))</f>
        <v/>
      </c>
      <c r="K29" s="14" t="str">
        <f>IF(ISBLANK(A29),"",IFERROR(VLOOKUP(E29,REQUESTORS!A:B,2,FALSE),"Req. No registrado"))</f>
        <v/>
      </c>
      <c r="L29" s="14" t="str">
        <f>IF(ISBLANK(A29),"",VLOOKUP(D29,BUYER!A:C,3,FALSE))</f>
        <v/>
      </c>
    </row>
    <row r="30" spans="1:18" x14ac:dyDescent="0.25">
      <c r="A30" s="17"/>
      <c r="B30" s="17"/>
      <c r="C30" s="17"/>
      <c r="D30" s="17"/>
      <c r="E30" s="17"/>
      <c r="F30" s="17"/>
      <c r="G30" s="14" t="str">
        <f>IF(ISBLANK(A30),"",IFERROR(VLOOKUP(C30,SUPPLIERS!A:B,2,FALSE),"VENDOR NO REGISTRADO"))</f>
        <v/>
      </c>
      <c r="H30" s="16" t="str">
        <f>IF(ISBLANK(A30),"",IFERROR(IF(VLOOKUP(G30,suppliers_s!A:A,1,FALSE)=G30,"S","R"),"R"))</f>
        <v/>
      </c>
      <c r="I30" s="26" t="str">
        <f>IF(ISBLANK(A30),"",IFERROR(VLOOKUP(C30,SUPPLIERS!A:C,3,FALSE),"No vendor"))</f>
        <v/>
      </c>
      <c r="J30" s="14" t="str">
        <f>IF(ISBLANK(A30),"",IFERROR(IF(VLOOKUP(C30,SUPPLIERS!A:D,4,FALSE)=0,"NO CORREO",VLOOKUP(C30,SUPPLIERS!A:D,4,FALSE)),"NO VENDOR"))</f>
        <v/>
      </c>
      <c r="K30" s="14" t="str">
        <f>IF(ISBLANK(A30),"",IFERROR(VLOOKUP(E30,REQUESTORS!A:B,2,FALSE),"Req. No registrado"))</f>
        <v/>
      </c>
      <c r="L30" s="14" t="str">
        <f>IF(ISBLANK(A30),"",VLOOKUP(D30,BUYER!A:C,3,FALSE))</f>
        <v/>
      </c>
    </row>
    <row r="31" spans="1:18" x14ac:dyDescent="0.25">
      <c r="A31" s="17"/>
      <c r="B31" s="17"/>
      <c r="C31" s="17"/>
      <c r="D31" s="17"/>
      <c r="E31" s="17"/>
      <c r="F31" s="17"/>
      <c r="G31" s="14" t="str">
        <f>IF(ISBLANK(A31),"",IFERROR(VLOOKUP(C31,SUPPLIERS!A:B,2,FALSE),"VENDOR NO REGISTRADO"))</f>
        <v/>
      </c>
      <c r="H31" s="16" t="str">
        <f>IF(ISBLANK(A31),"",IFERROR(IF(VLOOKUP(G31,suppliers_s!A:A,1,FALSE)=G31,"S","R"),"R"))</f>
        <v/>
      </c>
      <c r="I31" s="26" t="str">
        <f>IF(ISBLANK(A31),"",IFERROR(VLOOKUP(C31,SUPPLIERS!A:C,3,FALSE),"No vendor"))</f>
        <v/>
      </c>
      <c r="J31" s="14" t="str">
        <f>IF(ISBLANK(A31),"",IFERROR(IF(VLOOKUP(C31,SUPPLIERS!A:D,4,FALSE)=0,"NO CORREO",VLOOKUP(C31,SUPPLIERS!A:D,4,FALSE)),"NO VENDOR"))</f>
        <v/>
      </c>
      <c r="K31" s="14" t="str">
        <f>IF(ISBLANK(A31),"",IFERROR(VLOOKUP(E31,REQUESTORS!A:B,2,FALSE),"Req. No registrado"))</f>
        <v/>
      </c>
      <c r="L31" s="14" t="str">
        <f>IF(ISBLANK(A31),"",VLOOKUP(D31,BUYER!A:C,3,FALSE))</f>
        <v/>
      </c>
    </row>
    <row r="32" spans="1:18" x14ac:dyDescent="0.25">
      <c r="A32" s="17"/>
      <c r="B32" s="17"/>
      <c r="C32" s="17"/>
      <c r="D32" s="17"/>
      <c r="E32" s="17"/>
      <c r="F32" s="17"/>
      <c r="G32" s="14" t="str">
        <f>IF(ISBLANK(A32),"",IFERROR(VLOOKUP(C32,SUPPLIERS!A:B,2,FALSE),"VENDOR NO REGISTRADO"))</f>
        <v/>
      </c>
      <c r="H32" s="16" t="str">
        <f>IF(ISBLANK(A32),"",IFERROR(IF(VLOOKUP(G32,suppliers_s!A:A,1,FALSE)=G32,"S","R"),"R"))</f>
        <v/>
      </c>
      <c r="I32" s="26" t="str">
        <f>IF(ISBLANK(A32),"",IFERROR(VLOOKUP(C32,SUPPLIERS!A:C,3,FALSE),"No vendor"))</f>
        <v/>
      </c>
      <c r="J32" s="14" t="str">
        <f>IF(ISBLANK(A32),"",IFERROR(IF(VLOOKUP(C32,SUPPLIERS!A:D,4,FALSE)=0,"NO CORREO",VLOOKUP(C32,SUPPLIERS!A:D,4,FALSE)),"NO VENDOR"))</f>
        <v/>
      </c>
      <c r="K32" s="14" t="str">
        <f>IF(ISBLANK(A32),"",IFERROR(VLOOKUP(E32,REQUESTORS!A:B,2,FALSE),"Req. No registrado"))</f>
        <v/>
      </c>
      <c r="L32" s="14" t="str">
        <f>IF(ISBLANK(A32),"",VLOOKUP(D32,BUYER!A:C,3,FALSE))</f>
        <v/>
      </c>
    </row>
    <row r="33" spans="1:12" x14ac:dyDescent="0.25">
      <c r="A33" s="17"/>
      <c r="B33" s="17"/>
      <c r="C33" s="17"/>
      <c r="D33" s="17"/>
      <c r="E33" s="17"/>
      <c r="F33" s="17"/>
      <c r="G33" s="14" t="str">
        <f>IF(ISBLANK(A33),"",IFERROR(VLOOKUP(C33,SUPPLIERS!A:B,2,FALSE),"VENDOR NO REGISTRADO"))</f>
        <v/>
      </c>
      <c r="H33" s="16" t="str">
        <f>IF(ISBLANK(A33),"",IFERROR(IF(VLOOKUP(G33,suppliers_s!A:A,1,FALSE)=G33,"S","R"),"R"))</f>
        <v/>
      </c>
      <c r="I33" s="26" t="str">
        <f>IF(ISBLANK(A33),"",IFERROR(VLOOKUP(C33,SUPPLIERS!A:C,3,FALSE),"No vendor"))</f>
        <v/>
      </c>
      <c r="J33" s="14" t="str">
        <f>IF(ISBLANK(A33),"",IFERROR(IF(VLOOKUP(C33,SUPPLIERS!A:D,4,FALSE)=0,"NO CORREO",VLOOKUP(C33,SUPPLIERS!A:D,4,FALSE)),"NO VENDOR"))</f>
        <v/>
      </c>
      <c r="K33" s="14" t="str">
        <f>IF(ISBLANK(A33),"",IFERROR(VLOOKUP(E33,REQUESTORS!A:B,2,FALSE),"Req. No registrado"))</f>
        <v/>
      </c>
      <c r="L33" s="14" t="str">
        <f>IF(ISBLANK(A33),"",VLOOKUP(D33,BUYER!A:C,3,FALSE))</f>
        <v/>
      </c>
    </row>
    <row r="34" spans="1:12" x14ac:dyDescent="0.25">
      <c r="A34" s="17"/>
      <c r="B34" s="17"/>
      <c r="C34" s="17"/>
      <c r="D34" s="17"/>
      <c r="E34" s="17"/>
      <c r="F34" s="17"/>
      <c r="G34" s="14" t="str">
        <f>IF(ISBLANK(A34),"",IFERROR(VLOOKUP(C34,SUPPLIERS!A:B,2,FALSE),"VENDOR NO REGISTRADO"))</f>
        <v/>
      </c>
      <c r="H34" s="16" t="str">
        <f>IF(ISBLANK(A34),"",IFERROR(IF(VLOOKUP(G34,suppliers_s!A:A,1,FALSE)=G34,"S","R"),"R"))</f>
        <v/>
      </c>
      <c r="I34" s="26" t="str">
        <f>IF(ISBLANK(A34),"",IFERROR(VLOOKUP(C34,SUPPLIERS!A:C,3,FALSE),"No vendor"))</f>
        <v/>
      </c>
      <c r="J34" s="14" t="str">
        <f>IF(ISBLANK(A34),"",IFERROR(IF(VLOOKUP(C34,SUPPLIERS!A:D,4,FALSE)=0,"NO CORREO",VLOOKUP(C34,SUPPLIERS!A:D,4,FALSE)),"NO VENDOR"))</f>
        <v/>
      </c>
      <c r="K34" s="14" t="str">
        <f>IF(ISBLANK(A34),"",IFERROR(VLOOKUP(E34,REQUESTORS!A:B,2,FALSE),"Req. No registrado"))</f>
        <v/>
      </c>
      <c r="L34" s="14" t="str">
        <f>IF(ISBLANK(A34),"",VLOOKUP(D34,BUYER!A:C,3,FALSE))</f>
        <v/>
      </c>
    </row>
    <row r="35" spans="1:12" x14ac:dyDescent="0.25">
      <c r="A35" s="17"/>
      <c r="B35" s="17"/>
      <c r="C35" s="17"/>
      <c r="D35" s="17"/>
      <c r="E35" s="17"/>
      <c r="F35" s="17"/>
      <c r="G35" s="14" t="str">
        <f>IF(ISBLANK(A35),"",IFERROR(VLOOKUP(C35,SUPPLIERS!A:B,2,FALSE),"VENDOR NO REGISTRADO"))</f>
        <v/>
      </c>
      <c r="H35" s="16" t="str">
        <f>IF(ISBLANK(A35),"",IFERROR(IF(VLOOKUP(G35,suppliers_s!A:A,1,FALSE)=G35,"S","R"),"R"))</f>
        <v/>
      </c>
      <c r="I35" s="26" t="str">
        <f>IF(ISBLANK(A35),"",IFERROR(VLOOKUP(C35,SUPPLIERS!A:C,3,FALSE),"No vendor"))</f>
        <v/>
      </c>
      <c r="J35" s="14" t="str">
        <f>IF(ISBLANK(A35),"",IFERROR(IF(VLOOKUP(C35,SUPPLIERS!A:D,4,FALSE)=0,"NO CORREO",VLOOKUP(C35,SUPPLIERS!A:D,4,FALSE)),"NO VENDOR"))</f>
        <v/>
      </c>
      <c r="K35" s="14" t="str">
        <f>IF(ISBLANK(A35),"",IFERROR(VLOOKUP(E35,REQUESTORS!A:B,2,FALSE),"Req. No registrado"))</f>
        <v/>
      </c>
      <c r="L35" s="14" t="str">
        <f>IF(ISBLANK(A35),"",VLOOKUP(D35,BUYER!A:C,3,FALSE))</f>
        <v/>
      </c>
    </row>
    <row r="36" spans="1:12" x14ac:dyDescent="0.25">
      <c r="A36" s="17"/>
      <c r="B36" s="17"/>
      <c r="C36" s="17"/>
      <c r="D36" s="17"/>
      <c r="E36" s="17"/>
      <c r="F36" s="17"/>
      <c r="G36" s="14" t="str">
        <f>IF(ISBLANK(A36),"",IFERROR(VLOOKUP(C36,SUPPLIERS!A:B,2,FALSE),"VENDOR NO REGISTRADO"))</f>
        <v/>
      </c>
      <c r="H36" s="16" t="str">
        <f>IF(ISBLANK(A36),"",IFERROR(IF(VLOOKUP(G36,suppliers_s!A:A,1,FALSE)=G36,"S","R"),"R"))</f>
        <v/>
      </c>
      <c r="I36" s="26" t="str">
        <f>IF(ISBLANK(A36),"",IFERROR(VLOOKUP(C36,SUPPLIERS!A:C,3,FALSE),"No vendor"))</f>
        <v/>
      </c>
      <c r="J36" s="14" t="str">
        <f>IF(ISBLANK(A36),"",IFERROR(IF(VLOOKUP(C36,SUPPLIERS!A:D,4,FALSE)=0,"NO CORREO",VLOOKUP(C36,SUPPLIERS!A:D,4,FALSE)),"NO VENDOR"))</f>
        <v/>
      </c>
      <c r="K36" s="14" t="str">
        <f>IF(ISBLANK(A36),"",IFERROR(VLOOKUP(E36,REQUESTORS!A:B,2,FALSE),"Req. No registrado"))</f>
        <v/>
      </c>
      <c r="L36" s="14" t="str">
        <f>IF(ISBLANK(A36),"",VLOOKUP(D36,BUYER!A:C,3,FALSE))</f>
        <v/>
      </c>
    </row>
    <row r="37" spans="1:12" x14ac:dyDescent="0.25">
      <c r="A37" s="17"/>
      <c r="B37" s="17"/>
      <c r="C37" s="17"/>
      <c r="D37" s="17"/>
      <c r="E37" s="17"/>
      <c r="F37" s="17"/>
      <c r="G37" s="14" t="str">
        <f>IF(ISBLANK(A37),"",IFERROR(VLOOKUP(C37,SUPPLIERS!A:B,2,FALSE),"VENDOR NO REGISTRADO"))</f>
        <v/>
      </c>
      <c r="H37" s="16" t="str">
        <f>IF(ISBLANK(A37),"",IFERROR(IF(VLOOKUP(G37,suppliers_s!A:A,1,FALSE)=G37,"S","R"),"R"))</f>
        <v/>
      </c>
      <c r="I37" s="26" t="str">
        <f>IF(ISBLANK(A37),"",IFERROR(VLOOKUP(C37,SUPPLIERS!A:C,3,FALSE),"No vendor"))</f>
        <v/>
      </c>
      <c r="J37" s="14" t="str">
        <f>IF(ISBLANK(A37),"",IFERROR(IF(VLOOKUP(C37,SUPPLIERS!A:D,4,FALSE)=0,"NO CORREO",VLOOKUP(C37,SUPPLIERS!A:D,4,FALSE)),"NO VENDOR"))</f>
        <v/>
      </c>
      <c r="K37" s="14" t="str">
        <f>IF(ISBLANK(A37),"",IFERROR(VLOOKUP(E37,REQUESTORS!A:B,2,FALSE),"Req. No registrado"))</f>
        <v/>
      </c>
      <c r="L37" s="14" t="str">
        <f>IF(ISBLANK(A37),"",VLOOKUP(D37,BUYER!A:C,3,FALSE))</f>
        <v/>
      </c>
    </row>
    <row r="38" spans="1:12" x14ac:dyDescent="0.25">
      <c r="A38" s="17"/>
      <c r="B38" s="17"/>
      <c r="C38" s="17"/>
      <c r="D38" s="17"/>
      <c r="E38" s="17"/>
      <c r="F38" s="17"/>
      <c r="G38" s="14" t="str">
        <f>IF(ISBLANK(A38),"",IFERROR(VLOOKUP(C38,SUPPLIERS!A:B,2,FALSE),"VENDOR NO REGISTRADO"))</f>
        <v/>
      </c>
      <c r="H38" s="16" t="str">
        <f>IF(ISBLANK(A38),"",IFERROR(IF(VLOOKUP(G38,suppliers_s!A:A,1,FALSE)=G38,"S","R"),"R"))</f>
        <v/>
      </c>
      <c r="I38" s="26" t="str">
        <f>IF(ISBLANK(A38),"",IFERROR(VLOOKUP(C38,SUPPLIERS!A:C,3,FALSE),"No vendor"))</f>
        <v/>
      </c>
      <c r="J38" s="14" t="str">
        <f>IF(ISBLANK(A38),"",IFERROR(IF(VLOOKUP(C38,SUPPLIERS!A:D,4,FALSE)=0,"NO CORREO",VLOOKUP(C38,SUPPLIERS!A:D,4,FALSE)),"NO VENDOR"))</f>
        <v/>
      </c>
      <c r="K38" s="14" t="str">
        <f>IF(ISBLANK(A38),"",IFERROR(VLOOKUP(E38,REQUESTORS!A:B,2,FALSE),"Req. No registrado"))</f>
        <v/>
      </c>
      <c r="L38" s="14" t="str">
        <f>IF(ISBLANK(A38),"",VLOOKUP(D38,BUYER!A:C,3,FALSE))</f>
        <v/>
      </c>
    </row>
    <row r="39" spans="1:12" x14ac:dyDescent="0.25">
      <c r="A39" s="17"/>
      <c r="B39" s="17"/>
      <c r="C39" s="17"/>
      <c r="D39" s="17"/>
      <c r="E39" s="17"/>
      <c r="F39" s="17"/>
      <c r="G39" s="14" t="str">
        <f>IF(ISBLANK(A39),"",IFERROR(VLOOKUP(C39,SUPPLIERS!A:B,2,FALSE),"VENDOR NO REGISTRADO"))</f>
        <v/>
      </c>
      <c r="H39" s="16" t="str">
        <f>IF(ISBLANK(A39),"",IFERROR(IF(VLOOKUP(G39,suppliers_s!A:A,1,FALSE)=G39,"S","R"),"R"))</f>
        <v/>
      </c>
      <c r="I39" s="26" t="str">
        <f>IF(ISBLANK(A39),"",IFERROR(VLOOKUP(C39,SUPPLIERS!A:C,3,FALSE),"No vendor"))</f>
        <v/>
      </c>
      <c r="J39" s="14" t="str">
        <f>IF(ISBLANK(A39),"",IFERROR(IF(VLOOKUP(C39,SUPPLIERS!A:D,4,FALSE)=0,"NO CORREO",VLOOKUP(C39,SUPPLIERS!A:D,4,FALSE)),"NO VENDOR"))</f>
        <v/>
      </c>
      <c r="K39" s="14" t="str">
        <f>IF(ISBLANK(A39),"",IFERROR(VLOOKUP(E39,REQUESTORS!A:B,2,FALSE),"Req. No registrado"))</f>
        <v/>
      </c>
      <c r="L39" s="14" t="str">
        <f>IF(ISBLANK(A39),"",VLOOKUP(D39,BUYER!A:C,3,FALSE))</f>
        <v/>
      </c>
    </row>
    <row r="40" spans="1:12" x14ac:dyDescent="0.25">
      <c r="A40" s="17"/>
      <c r="B40" s="17"/>
      <c r="C40" s="17"/>
      <c r="D40" s="17"/>
      <c r="E40" s="17"/>
      <c r="F40" s="17"/>
      <c r="G40" s="14" t="str">
        <f>IF(ISBLANK(A40),"",IFERROR(VLOOKUP(C40,SUPPLIERS!A:B,2,FALSE),"VENDOR NO REGISTRADO"))</f>
        <v/>
      </c>
      <c r="H40" s="16" t="str">
        <f>IF(ISBLANK(A40),"",IFERROR(IF(VLOOKUP(G40,suppliers_s!A:A,1,FALSE)=G40,"S","R"),"R"))</f>
        <v/>
      </c>
      <c r="I40" s="26" t="str">
        <f>IF(ISBLANK(A40),"",IFERROR(VLOOKUP(C40,SUPPLIERS!A:C,3,FALSE),"No vendor"))</f>
        <v/>
      </c>
      <c r="J40" s="14" t="str">
        <f>IF(ISBLANK(A40),"",IFERROR(IF(VLOOKUP(C40,SUPPLIERS!A:D,4,FALSE)=0,"NO CORREO",VLOOKUP(C40,SUPPLIERS!A:D,4,FALSE)),"NO VENDOR"))</f>
        <v/>
      </c>
      <c r="K40" s="14" t="str">
        <f>IF(ISBLANK(A40),"",IFERROR(VLOOKUP(E40,REQUESTORS!A:B,2,FALSE),"Req. No registrado"))</f>
        <v/>
      </c>
      <c r="L40" s="14" t="str">
        <f>IF(ISBLANK(A40),"",VLOOKUP(D40,BUYER!A:C,3,FALSE))</f>
        <v/>
      </c>
    </row>
    <row r="41" spans="1:12" x14ac:dyDescent="0.25">
      <c r="A41" s="17"/>
      <c r="B41" s="17"/>
      <c r="C41" s="17"/>
      <c r="D41" s="17"/>
      <c r="E41" s="17"/>
      <c r="F41" s="17"/>
      <c r="G41" s="14" t="str">
        <f>IF(ISBLANK(A41),"",IFERROR(VLOOKUP(C41,SUPPLIERS!A:B,2,FALSE),"VENDOR NO REGISTRADO"))</f>
        <v/>
      </c>
      <c r="H41" s="16" t="str">
        <f>IF(ISBLANK(A41),"",IFERROR(IF(VLOOKUP(G41,suppliers_s!A:A,1,FALSE)=G41,"S","R"),"R"))</f>
        <v/>
      </c>
      <c r="I41" s="26" t="str">
        <f>IF(ISBLANK(A41),"",IFERROR(VLOOKUP(C41,SUPPLIERS!A:C,3,FALSE),"No vendor"))</f>
        <v/>
      </c>
      <c r="J41" s="14" t="str">
        <f>IF(ISBLANK(A41),"",IFERROR(IF(VLOOKUP(C41,SUPPLIERS!A:D,4,FALSE)=0,"NO CORREO",VLOOKUP(C41,SUPPLIERS!A:D,4,FALSE)),"NO VENDOR"))</f>
        <v/>
      </c>
      <c r="K41" s="14" t="str">
        <f>IF(ISBLANK(A41),"",IFERROR(VLOOKUP(E41,REQUESTORS!A:B,2,FALSE),"Req. No registrado"))</f>
        <v/>
      </c>
      <c r="L41" s="14" t="str">
        <f>IF(ISBLANK(A41),"",VLOOKUP(D41,BUYER!A:C,3,FALSE))</f>
        <v/>
      </c>
    </row>
    <row r="42" spans="1:12" x14ac:dyDescent="0.25">
      <c r="A42" s="17"/>
      <c r="B42" s="17"/>
      <c r="C42" s="17"/>
      <c r="D42" s="17"/>
      <c r="E42" s="17"/>
      <c r="F42" s="17"/>
      <c r="G42" s="14" t="str">
        <f>IF(ISBLANK(A42),"",IFERROR(VLOOKUP(C42,SUPPLIERS!A:B,2,FALSE),"VENDOR NO REGISTRADO"))</f>
        <v/>
      </c>
      <c r="H42" s="16" t="str">
        <f>IF(ISBLANK(A42),"",IFERROR(IF(VLOOKUP(G42,suppliers_s!A:A,1,FALSE)=G42,"S","R"),"R"))</f>
        <v/>
      </c>
      <c r="I42" s="26" t="str">
        <f>IF(ISBLANK(A42),"",IFERROR(VLOOKUP(C42,SUPPLIERS!A:C,3,FALSE),"No vendor"))</f>
        <v/>
      </c>
      <c r="J42" s="14" t="str">
        <f>IF(ISBLANK(A42),"",IFERROR(IF(VLOOKUP(C42,SUPPLIERS!A:D,4,FALSE)=0,"NO CORREO",VLOOKUP(C42,SUPPLIERS!A:D,4,FALSE)),"NO VENDOR"))</f>
        <v/>
      </c>
      <c r="K42" s="14" t="str">
        <f>IF(ISBLANK(A42),"",IFERROR(VLOOKUP(E42,REQUESTORS!A:B,2,FALSE),"Req. No registrado"))</f>
        <v/>
      </c>
      <c r="L42" s="14" t="str">
        <f>IF(ISBLANK(A42),"",VLOOKUP(D42,BUYER!A:C,3,FALSE))</f>
        <v/>
      </c>
    </row>
    <row r="43" spans="1:12" x14ac:dyDescent="0.25">
      <c r="A43" s="17"/>
      <c r="B43" s="17"/>
      <c r="C43" s="17"/>
      <c r="D43" s="17"/>
      <c r="E43" s="17"/>
      <c r="F43" s="17"/>
      <c r="G43" s="14" t="str">
        <f>IF(ISBLANK(A43),"",IFERROR(VLOOKUP(C43,SUPPLIERS!A:B,2,FALSE),"VENDOR NO REGISTRADO"))</f>
        <v/>
      </c>
      <c r="H43" s="16" t="str">
        <f>IF(ISBLANK(A43),"",IFERROR(IF(VLOOKUP(G43,suppliers_s!A:A,1,FALSE)=G43,"S","R"),"R"))</f>
        <v/>
      </c>
      <c r="I43" s="26" t="str">
        <f>IF(ISBLANK(A43),"",IFERROR(VLOOKUP(C43,SUPPLIERS!A:C,3,FALSE),"No vendor"))</f>
        <v/>
      </c>
      <c r="J43" s="14" t="str">
        <f>IF(ISBLANK(A43),"",IFERROR(IF(VLOOKUP(C43,SUPPLIERS!A:D,4,FALSE)=0,"NO CORREO",VLOOKUP(C43,SUPPLIERS!A:D,4,FALSE)),"NO VENDOR"))</f>
        <v/>
      </c>
      <c r="K43" s="14" t="str">
        <f>IF(ISBLANK(A43),"",IFERROR(VLOOKUP(E43,REQUESTORS!A:B,2,FALSE),"Req. No registrado"))</f>
        <v/>
      </c>
      <c r="L43" s="14" t="str">
        <f>IF(ISBLANK(A43),"",VLOOKUP(D43,BUYER!A:C,3,FALSE))</f>
        <v/>
      </c>
    </row>
    <row r="44" spans="1:12" x14ac:dyDescent="0.25">
      <c r="A44" s="17"/>
      <c r="B44" s="17"/>
      <c r="C44" s="17"/>
      <c r="D44" s="17"/>
      <c r="E44" s="17"/>
      <c r="F44" s="17"/>
      <c r="G44" s="14" t="str">
        <f>IF(ISBLANK(A44),"",IFERROR(VLOOKUP(C44,SUPPLIERS!A:B,2,FALSE),"VENDOR NO REGISTRADO"))</f>
        <v/>
      </c>
      <c r="H44" s="16" t="str">
        <f>IF(ISBLANK(A44),"",IFERROR(IF(VLOOKUP(G44,suppliers_s!A:A,1,FALSE)=G44,"S","R"),"R"))</f>
        <v/>
      </c>
      <c r="I44" s="26" t="str">
        <f>IF(ISBLANK(A44),"",IFERROR(VLOOKUP(C44,SUPPLIERS!A:C,3,FALSE),"No vendor"))</f>
        <v/>
      </c>
      <c r="J44" s="14" t="str">
        <f>IF(ISBLANK(A44),"",IFERROR(IF(VLOOKUP(C44,SUPPLIERS!A:D,4,FALSE)=0,"NO CORREO",VLOOKUP(C44,SUPPLIERS!A:D,4,FALSE)),"NO VENDOR"))</f>
        <v/>
      </c>
      <c r="K44" s="14" t="str">
        <f>IF(ISBLANK(A44),"",IFERROR(VLOOKUP(E44,REQUESTORS!A:B,2,FALSE),"Req. No registrado"))</f>
        <v/>
      </c>
      <c r="L44" s="14" t="str">
        <f>IF(ISBLANK(A44),"",VLOOKUP(D44,BUYER!A:C,3,FALSE))</f>
        <v/>
      </c>
    </row>
    <row r="45" spans="1:12" x14ac:dyDescent="0.25">
      <c r="A45" s="17"/>
      <c r="B45" s="17"/>
      <c r="C45" s="17"/>
      <c r="D45" s="17"/>
      <c r="E45" s="17"/>
      <c r="F45" s="17"/>
      <c r="G45" s="14" t="str">
        <f>IF(ISBLANK(A45),"",IFERROR(VLOOKUP(C45,SUPPLIERS!A:B,2,FALSE),"VENDOR NO REGISTRADO"))</f>
        <v/>
      </c>
      <c r="H45" s="16" t="str">
        <f>IF(ISBLANK(A45),"",IFERROR(IF(VLOOKUP(G45,suppliers_s!A:A,1,FALSE)=G45,"S","R"),"R"))</f>
        <v/>
      </c>
      <c r="I45" s="26" t="str">
        <f>IF(ISBLANK(A45),"",IFERROR(VLOOKUP(C45,SUPPLIERS!A:C,3,FALSE),"No vendor"))</f>
        <v/>
      </c>
      <c r="J45" s="14" t="str">
        <f>IF(ISBLANK(A45),"",IFERROR(IF(VLOOKUP(C45,SUPPLIERS!A:D,4,FALSE)=0,"NO CORREO",VLOOKUP(C45,SUPPLIERS!A:D,4,FALSE)),"NO VENDOR"))</f>
        <v/>
      </c>
      <c r="K45" s="14" t="str">
        <f>IF(ISBLANK(A45),"",IFERROR(VLOOKUP(E45,REQUESTORS!A:B,2,FALSE),"Req. No registrado"))</f>
        <v/>
      </c>
      <c r="L45" s="14" t="str">
        <f>IF(ISBLANK(A45),"",VLOOKUP(D45,BUYER!A:C,3,FALSE))</f>
        <v/>
      </c>
    </row>
    <row r="46" spans="1:12" x14ac:dyDescent="0.25">
      <c r="A46" s="17"/>
      <c r="B46" s="17"/>
      <c r="C46" s="17"/>
      <c r="D46" s="17"/>
      <c r="E46" s="17"/>
      <c r="F46" s="17"/>
      <c r="G46" s="14" t="str">
        <f>IF(ISBLANK(A46),"",IFERROR(VLOOKUP(C46,SUPPLIERS!A:B,2,FALSE),"VENDOR NO REGISTRADO"))</f>
        <v/>
      </c>
      <c r="H46" s="16" t="str">
        <f>IF(ISBLANK(A46),"",IFERROR(IF(VLOOKUP(G46,suppliers_s!A:A,1,FALSE)=G46,"S","R"),"R"))</f>
        <v/>
      </c>
      <c r="I46" s="26" t="str">
        <f>IF(ISBLANK(A46),"",IFERROR(VLOOKUP(C46,SUPPLIERS!A:C,3,FALSE),"No vendor"))</f>
        <v/>
      </c>
      <c r="J46" s="14" t="str">
        <f>IF(ISBLANK(A46),"",IFERROR(IF(VLOOKUP(C46,SUPPLIERS!A:D,4,FALSE)=0,"NO CORREO",VLOOKUP(C46,SUPPLIERS!A:D,4,FALSE)),"NO VENDOR"))</f>
        <v/>
      </c>
      <c r="K46" s="14" t="str">
        <f>IF(ISBLANK(A46),"",IFERROR(VLOOKUP(E46,REQUESTORS!A:B,2,FALSE),"Req. No registrado"))</f>
        <v/>
      </c>
      <c r="L46" s="14" t="str">
        <f>IF(ISBLANK(A46),"",VLOOKUP(D46,BUYER!A:C,3,FALSE))</f>
        <v/>
      </c>
    </row>
    <row r="47" spans="1:12" x14ac:dyDescent="0.25">
      <c r="A47" s="17"/>
      <c r="B47" s="17"/>
      <c r="C47" s="17"/>
      <c r="D47" s="17"/>
      <c r="E47" s="17"/>
      <c r="F47" s="17"/>
      <c r="G47" s="14" t="str">
        <f>IF(ISBLANK(A47),"",IFERROR(VLOOKUP(C47,SUPPLIERS!A:B,2,FALSE),"VENDOR NO REGISTRADO"))</f>
        <v/>
      </c>
      <c r="H47" s="16" t="str">
        <f>IF(ISBLANK(A47),"",IFERROR(IF(VLOOKUP(G47,suppliers_s!A:A,1,FALSE)=G47,"S","R"),"R"))</f>
        <v/>
      </c>
      <c r="I47" s="26" t="str">
        <f>IF(ISBLANK(A47),"",IFERROR(VLOOKUP(C47,SUPPLIERS!A:C,3,FALSE),"No vendor"))</f>
        <v/>
      </c>
      <c r="J47" s="14" t="str">
        <f>IF(ISBLANK(A47),"",IFERROR(IF(VLOOKUP(C47,SUPPLIERS!A:D,4,FALSE)=0,"NO CORREO",VLOOKUP(C47,SUPPLIERS!A:D,4,FALSE)),"NO VENDOR"))</f>
        <v/>
      </c>
      <c r="K47" s="14" t="str">
        <f>IF(ISBLANK(A47),"",IFERROR(VLOOKUP(E47,REQUESTORS!A:B,2,FALSE),"Req. No registrado"))</f>
        <v/>
      </c>
      <c r="L47" s="14" t="str">
        <f>IF(ISBLANK(A47),"",VLOOKUP(D47,BUYER!A:C,3,FALSE))</f>
        <v/>
      </c>
    </row>
    <row r="48" spans="1:12" x14ac:dyDescent="0.25">
      <c r="A48" s="17"/>
      <c r="B48" s="17"/>
      <c r="C48" s="17"/>
      <c r="D48" s="17"/>
      <c r="E48" s="17"/>
      <c r="F48" s="17"/>
      <c r="G48" s="14" t="str">
        <f>IF(ISBLANK(A48),"",IFERROR(VLOOKUP(C48,SUPPLIERS!A:B,2,FALSE),"VENDOR NO REGISTRADO"))</f>
        <v/>
      </c>
      <c r="H48" s="16" t="str">
        <f>IF(ISBLANK(A48),"",IFERROR(IF(VLOOKUP(G48,suppliers_s!A:A,1,FALSE)=G48,"S","R"),"R"))</f>
        <v/>
      </c>
      <c r="I48" s="26" t="str">
        <f>IF(ISBLANK(A48),"",IFERROR(VLOOKUP(C48,SUPPLIERS!A:C,3,FALSE),"No vendor"))</f>
        <v/>
      </c>
      <c r="J48" s="14" t="str">
        <f>IF(ISBLANK(A48),"",IFERROR(IF(VLOOKUP(C48,SUPPLIERS!A:D,4,FALSE)=0,"NO CORREO",VLOOKUP(C48,SUPPLIERS!A:D,4,FALSE)),"NO VENDOR"))</f>
        <v/>
      </c>
      <c r="K48" s="14" t="str">
        <f>IF(ISBLANK(A48),"",IFERROR(VLOOKUP(E48,REQUESTORS!A:B,2,FALSE),"Req. No registrado"))</f>
        <v/>
      </c>
      <c r="L48" s="14" t="str">
        <f>IF(ISBLANK(A48),"",VLOOKUP(D48,BUYER!A:C,3,FALSE))</f>
        <v/>
      </c>
    </row>
    <row r="49" spans="1:15" x14ac:dyDescent="0.25">
      <c r="A49" s="17"/>
      <c r="B49" s="17"/>
      <c r="C49" s="17"/>
      <c r="D49" s="17"/>
      <c r="E49" s="17"/>
      <c r="F49" s="17"/>
      <c r="G49" s="14" t="str">
        <f>IF(ISBLANK(A49),"",IFERROR(VLOOKUP(C49,SUPPLIERS!A:B,2,FALSE),"VENDOR NO REGISTRADO"))</f>
        <v/>
      </c>
      <c r="H49" s="16" t="str">
        <f>IF(ISBLANK(A49),"",IFERROR(IF(VLOOKUP(G49,suppliers_s!A:A,1,FALSE)=G49,"S","R"),"R"))</f>
        <v/>
      </c>
      <c r="I49" s="26" t="str">
        <f>IF(ISBLANK(A49),"",IFERROR(VLOOKUP(C49,SUPPLIERS!A:C,3,FALSE),"No vendor"))</f>
        <v/>
      </c>
      <c r="J49" s="14" t="str">
        <f>IF(ISBLANK(A49),"",IFERROR(IF(VLOOKUP(C49,SUPPLIERS!A:D,4,FALSE)=0,"NO CORREO",VLOOKUP(C49,SUPPLIERS!A:D,4,FALSE)),"NO VENDOR"))</f>
        <v/>
      </c>
      <c r="K49" s="14" t="str">
        <f>IF(ISBLANK(A49),"",IFERROR(VLOOKUP(E49,REQUESTORS!A:B,2,FALSE),"Req. No registrado"))</f>
        <v/>
      </c>
      <c r="L49" s="14" t="str">
        <f>IF(ISBLANK(A49),"",VLOOKUP(D49,BUYER!A:C,3,FALSE))</f>
        <v/>
      </c>
    </row>
    <row r="50" spans="1:15" x14ac:dyDescent="0.25">
      <c r="A50" s="17"/>
      <c r="B50" s="17"/>
      <c r="C50" s="17"/>
      <c r="D50" s="17"/>
      <c r="E50" s="17"/>
      <c r="F50" s="17"/>
      <c r="G50" s="14" t="str">
        <f>IF(ISBLANK(A50),"",IFERROR(VLOOKUP(C50,SUPPLIERS!A:B,2,FALSE),"VENDOR NO REGISTRADO"))</f>
        <v/>
      </c>
      <c r="H50" s="16" t="str">
        <f>IF(ISBLANK(A50),"",IFERROR(IF(VLOOKUP(G50,suppliers_s!A:A,1,FALSE)=G50,"S","R"),"R"))</f>
        <v/>
      </c>
      <c r="I50" s="26" t="str">
        <f>IF(ISBLANK(A50),"",IFERROR(VLOOKUP(C50,SUPPLIERS!A:C,3,FALSE),"No vendor"))</f>
        <v/>
      </c>
      <c r="J50" s="14" t="str">
        <f>IF(ISBLANK(A50),"",IFERROR(IF(VLOOKUP(C50,SUPPLIERS!A:D,4,FALSE)=0,"NO CORREO",VLOOKUP(C50,SUPPLIERS!A:D,4,FALSE)),"NO VENDOR"))</f>
        <v/>
      </c>
      <c r="K50" s="14" t="str">
        <f>IF(ISBLANK(A50),"",IFERROR(VLOOKUP(E50,REQUESTORS!A:B,2,FALSE),"Req. No registrado"))</f>
        <v/>
      </c>
      <c r="L50" s="14" t="str">
        <f>IF(ISBLANK(A50),"",VLOOKUP(D50,BUYER!A:C,3,FALSE))</f>
        <v/>
      </c>
    </row>
    <row r="51" spans="1:15" x14ac:dyDescent="0.25">
      <c r="A51" s="17"/>
      <c r="B51" s="17"/>
      <c r="C51" s="17"/>
      <c r="D51" s="17"/>
      <c r="E51" s="17"/>
      <c r="F51" s="17"/>
      <c r="G51" s="14" t="str">
        <f>IF(ISBLANK(A51),"",IFERROR(VLOOKUP(C51,SUPPLIERS!A:B,2,FALSE),"VENDOR NO REGISTRADO"))</f>
        <v/>
      </c>
      <c r="H51" s="16" t="str">
        <f>IF(ISBLANK(A51),"",IFERROR(IF(VLOOKUP(G51,suppliers_s!A:A,1,FALSE)=G51,"S","R"),"R"))</f>
        <v/>
      </c>
      <c r="I51" s="26" t="str">
        <f>IF(ISBLANK(A51),"",IFERROR(VLOOKUP(C51,SUPPLIERS!A:C,3,FALSE),"No vendor"))</f>
        <v/>
      </c>
      <c r="J51" s="14" t="str">
        <f>IF(ISBLANK(A51),"",IFERROR(IF(VLOOKUP(C51,SUPPLIERS!A:D,4,FALSE)=0,"NO CORREO",VLOOKUP(C51,SUPPLIERS!A:D,4,FALSE)),"NO VENDOR"))</f>
        <v/>
      </c>
      <c r="K51" s="14" t="str">
        <f>IF(ISBLANK(A51),"",IFERROR(VLOOKUP(E51,REQUESTORS!A:B,2,FALSE),"Req. No registrado"))</f>
        <v/>
      </c>
      <c r="L51" s="14" t="str">
        <f>IF(ISBLANK(A51),"",VLOOKUP(D51,BUYER!A:C,3,FALSE))</f>
        <v/>
      </c>
    </row>
    <row r="52" spans="1:15" x14ac:dyDescent="0.25">
      <c r="A52" s="17"/>
      <c r="B52" s="17"/>
      <c r="C52" s="17"/>
      <c r="D52" s="17"/>
      <c r="E52" s="17"/>
      <c r="F52" s="17"/>
      <c r="G52" s="14" t="str">
        <f>IF(ISBLANK(A52),"",IFERROR(VLOOKUP(C52,SUPPLIERS!A:B,2,FALSE),"VENDOR NO REGISTRADO"))</f>
        <v/>
      </c>
      <c r="H52" s="16" t="str">
        <f>IF(ISBLANK(A52),"",IFERROR(IF(VLOOKUP(G52,suppliers_s!A:A,1,FALSE)=G52,"S","R"),"R"))</f>
        <v/>
      </c>
      <c r="I52" s="26" t="str">
        <f>IF(ISBLANK(A52),"",IFERROR(VLOOKUP(C52,SUPPLIERS!A:C,3,FALSE),"No vendor"))</f>
        <v/>
      </c>
      <c r="J52" s="14" t="str">
        <f>IF(ISBLANK(A52),"",IFERROR(IF(VLOOKUP(C52,SUPPLIERS!A:D,4,FALSE)=0,"NO CORREO",VLOOKUP(C52,SUPPLIERS!A:D,4,FALSE)),"NO VENDOR"))</f>
        <v/>
      </c>
      <c r="K52" s="14" t="str">
        <f>IF(ISBLANK(A52),"",IFERROR(VLOOKUP(E52,REQUESTORS!A:B,2,FALSE),"Req. No registrado"))</f>
        <v/>
      </c>
      <c r="L52" s="14" t="str">
        <f>IF(ISBLANK(A52),"",VLOOKUP(D52,BUYER!A:C,3,FALSE))</f>
        <v/>
      </c>
    </row>
    <row r="53" spans="1:15" x14ac:dyDescent="0.25">
      <c r="A53" s="17"/>
      <c r="B53" s="17"/>
      <c r="C53" s="18"/>
      <c r="D53" s="17"/>
      <c r="E53" s="17"/>
      <c r="F53" s="17"/>
      <c r="G53" s="14" t="str">
        <f>IF(ISBLANK(A53),"",IFERROR(VLOOKUP(C53,SUPPLIERS!A:B,2,FALSE),"VENDOR NO REGISTRADO"))</f>
        <v/>
      </c>
      <c r="H53" s="16" t="str">
        <f>IF(ISBLANK(A53),"",IFERROR(IF(VLOOKUP(G53,suppliers_s!A:A,1,FALSE)=G53,"S","R"),"R"))</f>
        <v/>
      </c>
      <c r="I53" s="26" t="str">
        <f>IF(ISBLANK(A53),"",IFERROR(VLOOKUP(C53,SUPPLIERS!A:C,3,FALSE),"No vendor"))</f>
        <v/>
      </c>
      <c r="J53" s="14" t="str">
        <f>IF(ISBLANK(A53),"",IFERROR(IF(VLOOKUP(C53,SUPPLIERS!A:D,4,FALSE)=0,"NO CORREO",VLOOKUP(C53,SUPPLIERS!A:D,4,FALSE)),"NO VENDOR"))</f>
        <v/>
      </c>
      <c r="K53" s="14" t="str">
        <f>IF(ISBLANK(A53),"",IFERROR(VLOOKUP(E53,REQUESTORS!A:B,2,FALSE),"Req. No registrado"))</f>
        <v/>
      </c>
      <c r="L53" s="14" t="str">
        <f>IF(ISBLANK(A53),"",VLOOKUP(D53,BUYER!A:C,3,FALSE))</f>
        <v/>
      </c>
    </row>
    <row r="54" spans="1:15" x14ac:dyDescent="0.25">
      <c r="A54" s="17"/>
      <c r="B54" s="17"/>
      <c r="C54" s="17"/>
      <c r="D54" s="17"/>
      <c r="E54" s="17"/>
      <c r="F54" s="17"/>
      <c r="G54" s="14" t="str">
        <f>IF(ISBLANK(A54),"",IFERROR(VLOOKUP(C54,SUPPLIERS!A:B,2,FALSE),"VENDOR NO REGISTRADO"))</f>
        <v/>
      </c>
      <c r="H54" s="16" t="str">
        <f>IF(ISBLANK(A54),"",IFERROR(IF(VLOOKUP(G54,suppliers_s!A:A,1,FALSE)=G54,"S","R"),"R"))</f>
        <v/>
      </c>
      <c r="I54" s="26" t="str">
        <f>IF(ISBLANK(A54),"",IFERROR(VLOOKUP(C54,SUPPLIERS!A:C,3,FALSE),"No vendor"))</f>
        <v/>
      </c>
      <c r="J54" s="14" t="str">
        <f>IF(ISBLANK(A54),"",IFERROR(IF(VLOOKUP(C54,SUPPLIERS!A:D,4,FALSE)=0,"NO CORREO",VLOOKUP(C54,SUPPLIERS!A:D,4,FALSE)),"NO VENDOR"))</f>
        <v/>
      </c>
      <c r="K54" s="14" t="str">
        <f>IF(ISBLANK(A54),"",IFERROR(VLOOKUP(E54,REQUESTORS!A:B,2,FALSE),"Req. No registrado"))</f>
        <v/>
      </c>
      <c r="L54" s="14" t="str">
        <f>IF(ISBLANK(A54),"",VLOOKUP(D54,BUYER!A:C,3,FALSE))</f>
        <v/>
      </c>
    </row>
    <row r="55" spans="1:15" x14ac:dyDescent="0.25">
      <c r="A55" s="17"/>
      <c r="B55" s="17"/>
      <c r="C55" s="18"/>
      <c r="D55" s="17"/>
      <c r="E55" s="17"/>
      <c r="F55" s="17"/>
      <c r="G55" s="14" t="str">
        <f>IF(ISBLANK(A55),"",IFERROR(VLOOKUP(C55,SUPPLIERS!A:B,2,FALSE),"VENDOR NO REGISTRADO"))</f>
        <v/>
      </c>
      <c r="H55" s="16" t="str">
        <f>IF(ISBLANK(A55),"",IFERROR(IF(VLOOKUP(G55,suppliers_s!A:A,1,FALSE)=G55,"S","R"),"R"))</f>
        <v/>
      </c>
      <c r="I55" s="26" t="str">
        <f>IF(ISBLANK(A55),"",IFERROR(VLOOKUP(C55,SUPPLIERS!A:C,3,FALSE),"No vendor"))</f>
        <v/>
      </c>
      <c r="J55" s="14" t="str">
        <f>IF(ISBLANK(A55),"",IFERROR(IF(VLOOKUP(C55,SUPPLIERS!A:D,4,FALSE)=0,"NO CORREO",VLOOKUP(C55,SUPPLIERS!A:D,4,FALSE)),"NO VENDOR"))</f>
        <v/>
      </c>
      <c r="K55" s="14" t="str">
        <f>IF(ISBLANK(A55),"",IFERROR(VLOOKUP(E55,REQUESTORS!A:B,2,FALSE),"Req. No registrado"))</f>
        <v/>
      </c>
      <c r="L55" s="14" t="str">
        <f>IF(ISBLANK(A55),"",VLOOKUP(D55,BUYER!A:C,3,FALSE))</f>
        <v/>
      </c>
    </row>
    <row r="56" spans="1:15" x14ac:dyDescent="0.25">
      <c r="A56" s="17"/>
      <c r="B56" s="17"/>
      <c r="C56" s="18"/>
      <c r="D56" s="17"/>
      <c r="E56" s="18"/>
      <c r="F56" s="18"/>
      <c r="G56" s="15"/>
      <c r="J56" s="18"/>
      <c r="K56" s="18"/>
      <c r="L56" s="18"/>
      <c r="M56" s="18"/>
      <c r="N56" s="18"/>
      <c r="O56" s="15"/>
    </row>
    <row r="57" spans="1:15" x14ac:dyDescent="0.25">
      <c r="A57" s="15"/>
      <c r="B57" s="15"/>
      <c r="C57" s="15"/>
      <c r="D57" s="15"/>
      <c r="E57" s="15"/>
      <c r="F57" s="15"/>
    </row>
  </sheetData>
  <sheetProtection autoFilter="0"/>
  <autoFilter ref="A1:N1" xr:uid="{D35CF11A-7757-4ADE-8B01-55F1AE4BFF63}"/>
  <mergeCells count="3">
    <mergeCell ref="P5:Q5"/>
    <mergeCell ref="P2:S3"/>
    <mergeCell ref="P1:S1"/>
  </mergeCells>
  <conditionalFormatting sqref="A2:A1048576">
    <cfRule type="duplicateValues" dxfId="2" priority="3"/>
  </conditionalFormatting>
  <conditionalFormatting sqref="F1:F1048576">
    <cfRule type="cellIs" dxfId="0" priority="2" operator="equal">
      <formula>"PO ENVIADA"</formula>
    </cfRule>
    <cfRule type="cellIs" dxfId="1" priority="1" operator="equal">
      <formula>"In Process Center"</formula>
    </cfRule>
  </conditionalFormatting>
  <hyperlinks>
    <hyperlink ref="M11" r:id="rId1" xr:uid="{6637F8C2-EB57-491A-9081-467E843D5ACD}"/>
    <hyperlink ref="M10" r:id="rId2" xr:uid="{10FC8A47-11DB-43B9-AC3F-98AF03EA1C81}"/>
    <hyperlink ref="M12" r:id="rId3" xr:uid="{54F88153-50E1-4299-BED4-511E2330E69A}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Sheet6.limpiar">
                <anchor moveWithCells="1" sizeWithCells="1">
                  <from>
                    <xdr:col>15</xdr:col>
                    <xdr:colOff>419100</xdr:colOff>
                    <xdr:row>5</xdr:row>
                    <xdr:rowOff>158750</xdr:rowOff>
                  </from>
                  <to>
                    <xdr:col>18</xdr:col>
                    <xdr:colOff>63500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Button 13">
              <controlPr defaultSize="0" print="0" autoFill="0" autoPict="0" macro="[0]!Sheet6.auto_pr">
                <anchor moveWithCells="1" sizeWithCells="1">
                  <from>
                    <xdr:col>15</xdr:col>
                    <xdr:colOff>400050</xdr:colOff>
                    <xdr:row>8</xdr:row>
                    <xdr:rowOff>120650</xdr:rowOff>
                  </from>
                  <to>
                    <xdr:col>18</xdr:col>
                    <xdr:colOff>57150</xdr:colOff>
                    <xdr:row>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9" name="Button 29">
              <controlPr defaultSize="0" print="0" autoFill="0" autoPict="0" macro="[0]!Sheet6.cargarArchivos">
                <anchor moveWithCells="1" sizeWithCells="1">
                  <from>
                    <xdr:col>15</xdr:col>
                    <xdr:colOff>400050</xdr:colOff>
                    <xdr:row>13</xdr:row>
                    <xdr:rowOff>57150</xdr:rowOff>
                  </from>
                  <to>
                    <xdr:col>16</xdr:col>
                    <xdr:colOff>558800</xdr:colOff>
                    <xdr:row>16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10" name="Button 30">
              <controlPr defaultSize="0" print="0" autoFill="0" autoPict="0">
                <anchor moveWithCells="1" sizeWithCells="1">
                  <from>
                    <xdr:col>16</xdr:col>
                    <xdr:colOff>603250</xdr:colOff>
                    <xdr:row>13</xdr:row>
                    <xdr:rowOff>57150</xdr:rowOff>
                  </from>
                  <to>
                    <xdr:col>18</xdr:col>
                    <xdr:colOff>57150</xdr:colOff>
                    <xdr:row>16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11" name="Button 43">
              <controlPr defaultSize="0" print="0" autoFill="0" autoPict="0" macro="[0]!ThisWorkbook.GuardarPr">
                <anchor moveWithCells="1" sizeWithCells="1">
                  <from>
                    <xdr:col>15</xdr:col>
                    <xdr:colOff>400050</xdr:colOff>
                    <xdr:row>18</xdr:row>
                    <xdr:rowOff>120650</xdr:rowOff>
                  </from>
                  <to>
                    <xdr:col>18</xdr:col>
                    <xdr:colOff>76200</xdr:colOff>
                    <xdr:row>19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CE5FF-4824-4431-9592-5319EC25EF7C}">
  <sheetPr codeName="Sheet1"/>
  <dimension ref="A1:M681"/>
  <sheetViews>
    <sheetView topLeftCell="A83" workbookViewId="0">
      <selection activeCell="A91" sqref="A91"/>
    </sheetView>
  </sheetViews>
  <sheetFormatPr defaultRowHeight="12.5" x14ac:dyDescent="0.25"/>
  <cols>
    <col min="1" max="1" width="13.08984375" bestFit="1" customWidth="1"/>
    <col min="2" max="2" width="34.90625" bestFit="1" customWidth="1"/>
  </cols>
  <sheetData>
    <row r="1" spans="1:13" x14ac:dyDescent="0.25">
      <c r="A1" t="s">
        <v>2646</v>
      </c>
      <c r="B1" t="s">
        <v>2647</v>
      </c>
    </row>
    <row r="2" spans="1:13" x14ac:dyDescent="0.25">
      <c r="A2" s="7" t="s">
        <v>2479</v>
      </c>
      <c r="B2" s="8" t="s">
        <v>2564</v>
      </c>
      <c r="G2" s="2"/>
      <c r="J2" s="3"/>
      <c r="M2" s="4"/>
    </row>
    <row r="3" spans="1:13" x14ac:dyDescent="0.25">
      <c r="A3" s="7" t="s">
        <v>2480</v>
      </c>
      <c r="B3" t="s">
        <v>2565</v>
      </c>
      <c r="G3" s="2"/>
      <c r="J3" s="3"/>
      <c r="M3" s="4"/>
    </row>
    <row r="4" spans="1:13" x14ac:dyDescent="0.25">
      <c r="A4" s="7" t="s">
        <v>2481</v>
      </c>
      <c r="B4" t="s">
        <v>2566</v>
      </c>
      <c r="G4" s="2"/>
      <c r="J4" s="3"/>
      <c r="M4" s="4"/>
    </row>
    <row r="5" spans="1:13" x14ac:dyDescent="0.25">
      <c r="A5" s="7" t="s">
        <v>2482</v>
      </c>
      <c r="B5" t="s">
        <v>2567</v>
      </c>
      <c r="G5" s="2"/>
      <c r="J5" s="3"/>
      <c r="M5" s="4"/>
    </row>
    <row r="6" spans="1:13" x14ac:dyDescent="0.25">
      <c r="A6" s="7" t="s">
        <v>2483</v>
      </c>
      <c r="B6" t="s">
        <v>2568</v>
      </c>
      <c r="G6" s="2"/>
      <c r="J6" s="3"/>
      <c r="M6" s="4"/>
    </row>
    <row r="7" spans="1:13" x14ac:dyDescent="0.25">
      <c r="A7" s="7" t="s">
        <v>2484</v>
      </c>
      <c r="B7" t="s">
        <v>2569</v>
      </c>
      <c r="G7" s="2"/>
      <c r="J7" s="3"/>
      <c r="M7" s="4"/>
    </row>
    <row r="8" spans="1:13" x14ac:dyDescent="0.25">
      <c r="A8" s="7" t="s">
        <v>2485</v>
      </c>
      <c r="B8" t="s">
        <v>2570</v>
      </c>
      <c r="G8" s="2"/>
      <c r="J8" s="3"/>
      <c r="M8" s="4"/>
    </row>
    <row r="9" spans="1:13" x14ac:dyDescent="0.25">
      <c r="A9" s="7" t="s">
        <v>2486</v>
      </c>
      <c r="B9" t="s">
        <v>2571</v>
      </c>
      <c r="G9" s="2"/>
      <c r="J9" s="3"/>
      <c r="M9" s="4"/>
    </row>
    <row r="10" spans="1:13" x14ac:dyDescent="0.25">
      <c r="A10" s="7" t="s">
        <v>2487</v>
      </c>
      <c r="B10" t="s">
        <v>2572</v>
      </c>
      <c r="G10" s="2"/>
      <c r="J10" s="3"/>
      <c r="M10" s="4"/>
    </row>
    <row r="11" spans="1:13" x14ac:dyDescent="0.25">
      <c r="A11" s="7" t="s">
        <v>2488</v>
      </c>
      <c r="B11" t="s">
        <v>2573</v>
      </c>
      <c r="G11" s="2"/>
      <c r="J11" s="3"/>
      <c r="M11" s="4"/>
    </row>
    <row r="12" spans="1:13" x14ac:dyDescent="0.25">
      <c r="A12" s="7" t="s">
        <v>2489</v>
      </c>
      <c r="B12" t="s">
        <v>2574</v>
      </c>
      <c r="G12" s="2"/>
      <c r="J12" s="3"/>
      <c r="M12" s="4"/>
    </row>
    <row r="13" spans="1:13" x14ac:dyDescent="0.25">
      <c r="A13" s="7" t="s">
        <v>2490</v>
      </c>
      <c r="B13" t="s">
        <v>2575</v>
      </c>
      <c r="G13" s="2"/>
      <c r="J13" s="3"/>
      <c r="M13" s="4"/>
    </row>
    <row r="14" spans="1:13" x14ac:dyDescent="0.25">
      <c r="A14" s="7" t="s">
        <v>2491</v>
      </c>
      <c r="B14" t="s">
        <v>2576</v>
      </c>
      <c r="G14" s="2"/>
      <c r="J14" s="3"/>
      <c r="M14" s="4"/>
    </row>
    <row r="15" spans="1:13" x14ac:dyDescent="0.25">
      <c r="A15" s="7" t="s">
        <v>2492</v>
      </c>
      <c r="B15" t="s">
        <v>2577</v>
      </c>
      <c r="G15" s="2"/>
      <c r="J15" s="3"/>
      <c r="M15" s="4"/>
    </row>
    <row r="16" spans="1:13" x14ac:dyDescent="0.25">
      <c r="A16" s="7" t="s">
        <v>2493</v>
      </c>
      <c r="B16" t="s">
        <v>2578</v>
      </c>
      <c r="G16" s="2"/>
      <c r="J16" s="3"/>
      <c r="M16" s="4"/>
    </row>
    <row r="17" spans="1:13" x14ac:dyDescent="0.25">
      <c r="A17" s="7" t="s">
        <v>2494</v>
      </c>
      <c r="B17" t="s">
        <v>2579</v>
      </c>
      <c r="G17" s="2"/>
      <c r="J17" s="3"/>
      <c r="M17" s="4"/>
    </row>
    <row r="18" spans="1:13" x14ac:dyDescent="0.25">
      <c r="A18" s="7" t="s">
        <v>2495</v>
      </c>
      <c r="B18" t="s">
        <v>2580</v>
      </c>
      <c r="G18" s="2"/>
      <c r="J18" s="3"/>
      <c r="M18" s="4"/>
    </row>
    <row r="19" spans="1:13" x14ac:dyDescent="0.25">
      <c r="A19" s="7" t="s">
        <v>2496</v>
      </c>
      <c r="B19" t="s">
        <v>2581</v>
      </c>
      <c r="G19" s="2"/>
      <c r="J19" s="3"/>
      <c r="M19" s="4"/>
    </row>
    <row r="20" spans="1:13" x14ac:dyDescent="0.25">
      <c r="A20" s="7" t="s">
        <v>2497</v>
      </c>
      <c r="B20" t="s">
        <v>2582</v>
      </c>
      <c r="G20" s="2"/>
      <c r="J20" s="3"/>
      <c r="M20" s="4"/>
    </row>
    <row r="21" spans="1:13" x14ac:dyDescent="0.25">
      <c r="A21" s="7" t="s">
        <v>2498</v>
      </c>
      <c r="B21" t="s">
        <v>2583</v>
      </c>
      <c r="G21" s="2"/>
      <c r="J21" s="3"/>
      <c r="M21" s="4"/>
    </row>
    <row r="22" spans="1:13" x14ac:dyDescent="0.25">
      <c r="A22" s="7" t="s">
        <v>2499</v>
      </c>
      <c r="B22" t="s">
        <v>2584</v>
      </c>
      <c r="G22" s="2"/>
      <c r="J22" s="3"/>
      <c r="M22" s="4"/>
    </row>
    <row r="23" spans="1:13" x14ac:dyDescent="0.25">
      <c r="A23" s="7" t="s">
        <v>2500</v>
      </c>
      <c r="B23" t="s">
        <v>2585</v>
      </c>
      <c r="G23" s="2"/>
      <c r="J23" s="3"/>
      <c r="M23" s="4"/>
    </row>
    <row r="24" spans="1:13" x14ac:dyDescent="0.25">
      <c r="A24" s="7" t="s">
        <v>2501</v>
      </c>
      <c r="B24" t="s">
        <v>2586</v>
      </c>
      <c r="G24" s="2"/>
      <c r="J24" s="3"/>
      <c r="M24" s="4"/>
    </row>
    <row r="25" spans="1:13" x14ac:dyDescent="0.25">
      <c r="A25" s="7" t="s">
        <v>2502</v>
      </c>
      <c r="B25" t="s">
        <v>2587</v>
      </c>
      <c r="G25" s="2"/>
      <c r="J25" s="3"/>
      <c r="M25" s="4"/>
    </row>
    <row r="26" spans="1:13" x14ac:dyDescent="0.25">
      <c r="A26" s="7" t="s">
        <v>2503</v>
      </c>
      <c r="B26" t="s">
        <v>2588</v>
      </c>
      <c r="G26" s="2"/>
      <c r="J26" s="3"/>
      <c r="M26" s="4"/>
    </row>
    <row r="27" spans="1:13" x14ac:dyDescent="0.25">
      <c r="A27" s="7" t="s">
        <v>2504</v>
      </c>
      <c r="B27" t="s">
        <v>2580</v>
      </c>
      <c r="G27" s="2"/>
      <c r="J27" s="3"/>
      <c r="M27" s="4"/>
    </row>
    <row r="28" spans="1:13" x14ac:dyDescent="0.25">
      <c r="A28" s="7" t="s">
        <v>2505</v>
      </c>
      <c r="B28" t="s">
        <v>2589</v>
      </c>
      <c r="G28" s="2"/>
      <c r="J28" s="3"/>
      <c r="M28" s="4"/>
    </row>
    <row r="29" spans="1:13" x14ac:dyDescent="0.25">
      <c r="A29" s="7" t="s">
        <v>2506</v>
      </c>
      <c r="B29" t="s">
        <v>2590</v>
      </c>
      <c r="G29" s="2"/>
      <c r="J29" s="3"/>
      <c r="M29" s="4"/>
    </row>
    <row r="30" spans="1:13" x14ac:dyDescent="0.25">
      <c r="A30" s="7" t="s">
        <v>2507</v>
      </c>
      <c r="B30" t="s">
        <v>2591</v>
      </c>
      <c r="G30" s="2"/>
      <c r="J30" s="3"/>
      <c r="M30" s="4"/>
    </row>
    <row r="31" spans="1:13" x14ac:dyDescent="0.25">
      <c r="A31" s="7" t="s">
        <v>2508</v>
      </c>
      <c r="B31" t="s">
        <v>2592</v>
      </c>
      <c r="G31" s="2"/>
      <c r="J31" s="3"/>
      <c r="M31" s="4"/>
    </row>
    <row r="32" spans="1:13" x14ac:dyDescent="0.25">
      <c r="A32" s="7" t="s">
        <v>2509</v>
      </c>
      <c r="B32" t="s">
        <v>2593</v>
      </c>
      <c r="G32" s="2"/>
      <c r="J32" s="3"/>
      <c r="M32" s="4"/>
    </row>
    <row r="33" spans="1:13" x14ac:dyDescent="0.25">
      <c r="A33" s="7" t="s">
        <v>2510</v>
      </c>
      <c r="B33" t="s">
        <v>2594</v>
      </c>
      <c r="G33" s="2"/>
      <c r="J33" s="3"/>
      <c r="M33" s="4"/>
    </row>
    <row r="34" spans="1:13" x14ac:dyDescent="0.25">
      <c r="A34" s="7" t="s">
        <v>2511</v>
      </c>
      <c r="B34" t="s">
        <v>2595</v>
      </c>
      <c r="G34" s="2"/>
      <c r="J34" s="3"/>
      <c r="M34" s="4"/>
    </row>
    <row r="35" spans="1:13" x14ac:dyDescent="0.25">
      <c r="A35" s="7" t="s">
        <v>2512</v>
      </c>
      <c r="B35" t="s">
        <v>2596</v>
      </c>
      <c r="G35" s="2"/>
      <c r="J35" s="3"/>
      <c r="M35" s="4"/>
    </row>
    <row r="36" spans="1:13" x14ac:dyDescent="0.25">
      <c r="A36" s="7" t="s">
        <v>2513</v>
      </c>
      <c r="B36" t="s">
        <v>2597</v>
      </c>
      <c r="G36" s="2"/>
      <c r="J36" s="3"/>
      <c r="M36" s="4"/>
    </row>
    <row r="37" spans="1:13" x14ac:dyDescent="0.25">
      <c r="A37" s="7" t="s">
        <v>2514</v>
      </c>
      <c r="B37" t="s">
        <v>2598</v>
      </c>
      <c r="G37" s="2"/>
      <c r="J37" s="3"/>
      <c r="M37" s="4"/>
    </row>
    <row r="38" spans="1:13" x14ac:dyDescent="0.25">
      <c r="A38" s="7" t="s">
        <v>2515</v>
      </c>
      <c r="B38" t="s">
        <v>2599</v>
      </c>
      <c r="G38" s="2"/>
      <c r="J38" s="3"/>
      <c r="M38" s="4"/>
    </row>
    <row r="39" spans="1:13" x14ac:dyDescent="0.25">
      <c r="A39" s="7" t="s">
        <v>2516</v>
      </c>
      <c r="B39" t="s">
        <v>2600</v>
      </c>
      <c r="G39" s="2"/>
      <c r="J39" s="3"/>
      <c r="M39" s="4"/>
    </row>
    <row r="40" spans="1:13" x14ac:dyDescent="0.25">
      <c r="A40" s="7" t="s">
        <v>2517</v>
      </c>
      <c r="B40" t="s">
        <v>2601</v>
      </c>
      <c r="G40" s="2"/>
      <c r="J40" s="3"/>
      <c r="M40" s="4"/>
    </row>
    <row r="41" spans="1:13" x14ac:dyDescent="0.25">
      <c r="A41" s="7" t="s">
        <v>2518</v>
      </c>
      <c r="B41" t="s">
        <v>2602</v>
      </c>
      <c r="G41" s="2"/>
      <c r="J41" s="3"/>
      <c r="M41" s="4"/>
    </row>
    <row r="42" spans="1:13" x14ac:dyDescent="0.25">
      <c r="A42" s="7" t="s">
        <v>2519</v>
      </c>
      <c r="B42" t="s">
        <v>2601</v>
      </c>
      <c r="G42" s="2"/>
      <c r="J42" s="3"/>
      <c r="M42" s="4"/>
    </row>
    <row r="43" spans="1:13" x14ac:dyDescent="0.25">
      <c r="A43" s="7" t="s">
        <v>2520</v>
      </c>
      <c r="B43" t="s">
        <v>2603</v>
      </c>
      <c r="G43" s="2"/>
      <c r="J43" s="3"/>
      <c r="M43" s="4"/>
    </row>
    <row r="44" spans="1:13" x14ac:dyDescent="0.25">
      <c r="A44" s="7" t="s">
        <v>2521</v>
      </c>
      <c r="B44" t="s">
        <v>2604</v>
      </c>
      <c r="G44" s="2"/>
      <c r="J44" s="3"/>
      <c r="M44" s="4"/>
    </row>
    <row r="45" spans="1:13" x14ac:dyDescent="0.25">
      <c r="A45" s="7" t="s">
        <v>2522</v>
      </c>
      <c r="B45" t="s">
        <v>2605</v>
      </c>
      <c r="G45" s="2"/>
      <c r="J45" s="3"/>
      <c r="M45" s="4"/>
    </row>
    <row r="46" spans="1:13" x14ac:dyDescent="0.25">
      <c r="A46" s="7" t="s">
        <v>2523</v>
      </c>
      <c r="B46" t="s">
        <v>2606</v>
      </c>
      <c r="G46" s="2"/>
      <c r="J46" s="3"/>
      <c r="M46" s="4"/>
    </row>
    <row r="47" spans="1:13" x14ac:dyDescent="0.25">
      <c r="A47" s="7" t="s">
        <v>2524</v>
      </c>
      <c r="B47" t="s">
        <v>2607</v>
      </c>
      <c r="G47" s="2"/>
      <c r="J47" s="3"/>
      <c r="M47" s="4"/>
    </row>
    <row r="48" spans="1:13" x14ac:dyDescent="0.25">
      <c r="A48" s="7" t="s">
        <v>2525</v>
      </c>
      <c r="B48" t="s">
        <v>2608</v>
      </c>
      <c r="G48" s="2"/>
      <c r="J48" s="3"/>
      <c r="M48" s="4"/>
    </row>
    <row r="49" spans="1:13" x14ac:dyDescent="0.25">
      <c r="A49" s="7" t="s">
        <v>2526</v>
      </c>
      <c r="B49" t="s">
        <v>2609</v>
      </c>
      <c r="G49" s="2"/>
      <c r="J49" s="3"/>
      <c r="M49" s="4"/>
    </row>
    <row r="50" spans="1:13" x14ac:dyDescent="0.25">
      <c r="A50" s="7" t="s">
        <v>2527</v>
      </c>
      <c r="B50" t="s">
        <v>2610</v>
      </c>
      <c r="G50" s="2"/>
      <c r="J50" s="3"/>
      <c r="M50" s="4"/>
    </row>
    <row r="51" spans="1:13" x14ac:dyDescent="0.25">
      <c r="A51" s="7" t="s">
        <v>2528</v>
      </c>
      <c r="B51" t="s">
        <v>2611</v>
      </c>
      <c r="G51" s="2"/>
      <c r="J51" s="3"/>
      <c r="M51" s="4"/>
    </row>
    <row r="52" spans="1:13" x14ac:dyDescent="0.25">
      <c r="A52" s="7" t="s">
        <v>2529</v>
      </c>
      <c r="B52" t="s">
        <v>2612</v>
      </c>
      <c r="G52" s="2"/>
      <c r="J52" s="3"/>
      <c r="M52" s="4"/>
    </row>
    <row r="53" spans="1:13" x14ac:dyDescent="0.25">
      <c r="A53" s="7" t="s">
        <v>2530</v>
      </c>
      <c r="B53" t="s">
        <v>2613</v>
      </c>
      <c r="G53" s="2"/>
      <c r="J53" s="3"/>
      <c r="M53" s="4"/>
    </row>
    <row r="54" spans="1:13" x14ac:dyDescent="0.25">
      <c r="A54" s="7" t="s">
        <v>2531</v>
      </c>
      <c r="B54" t="s">
        <v>2594</v>
      </c>
      <c r="G54" s="2"/>
      <c r="J54" s="3"/>
      <c r="M54" s="4"/>
    </row>
    <row r="55" spans="1:13" x14ac:dyDescent="0.25">
      <c r="A55" s="7" t="s">
        <v>2532</v>
      </c>
      <c r="B55" t="s">
        <v>2614</v>
      </c>
      <c r="G55" s="2"/>
      <c r="J55" s="3"/>
      <c r="M55" s="4"/>
    </row>
    <row r="56" spans="1:13" x14ac:dyDescent="0.25">
      <c r="A56" s="7" t="s">
        <v>2533</v>
      </c>
      <c r="B56" t="s">
        <v>2615</v>
      </c>
      <c r="G56" s="2"/>
      <c r="J56" s="3"/>
      <c r="M56" s="4"/>
    </row>
    <row r="57" spans="1:13" x14ac:dyDescent="0.25">
      <c r="A57" s="7" t="s">
        <v>2534</v>
      </c>
      <c r="B57" t="s">
        <v>2616</v>
      </c>
      <c r="G57" s="2"/>
      <c r="J57" s="3"/>
      <c r="M57" s="4"/>
    </row>
    <row r="58" spans="1:13" x14ac:dyDescent="0.25">
      <c r="A58" s="7" t="s">
        <v>2535</v>
      </c>
      <c r="B58" t="s">
        <v>2617</v>
      </c>
      <c r="G58" s="2"/>
      <c r="J58" s="3"/>
      <c r="M58" s="4"/>
    </row>
    <row r="59" spans="1:13" x14ac:dyDescent="0.25">
      <c r="A59" s="7" t="s">
        <v>2536</v>
      </c>
      <c r="B59" t="s">
        <v>2618</v>
      </c>
      <c r="G59" s="2"/>
      <c r="J59" s="3"/>
      <c r="M59" s="4"/>
    </row>
    <row r="60" spans="1:13" x14ac:dyDescent="0.25">
      <c r="A60" s="7" t="s">
        <v>2537</v>
      </c>
      <c r="B60" t="s">
        <v>2619</v>
      </c>
      <c r="G60" s="2"/>
      <c r="J60" s="3"/>
      <c r="M60" s="4"/>
    </row>
    <row r="61" spans="1:13" x14ac:dyDescent="0.25">
      <c r="A61" s="7" t="s">
        <v>2538</v>
      </c>
      <c r="B61" t="s">
        <v>2620</v>
      </c>
      <c r="G61" s="2"/>
      <c r="J61" s="3"/>
      <c r="M61" s="4"/>
    </row>
    <row r="62" spans="1:13" x14ac:dyDescent="0.25">
      <c r="A62" s="7" t="s">
        <v>2539</v>
      </c>
      <c r="B62" t="s">
        <v>2621</v>
      </c>
      <c r="G62" s="2"/>
      <c r="J62" s="3"/>
      <c r="M62" s="4"/>
    </row>
    <row r="63" spans="1:13" x14ac:dyDescent="0.25">
      <c r="A63" s="7" t="s">
        <v>2540</v>
      </c>
      <c r="B63" t="s">
        <v>2622</v>
      </c>
      <c r="G63" s="2"/>
      <c r="J63" s="3"/>
      <c r="M63" s="4"/>
    </row>
    <row r="64" spans="1:13" x14ac:dyDescent="0.25">
      <c r="A64" s="7" t="s">
        <v>2541</v>
      </c>
      <c r="B64" t="s">
        <v>2623</v>
      </c>
      <c r="G64" s="2"/>
      <c r="J64" s="3"/>
      <c r="M64" s="4"/>
    </row>
    <row r="65" spans="1:13" x14ac:dyDescent="0.25">
      <c r="A65" s="7" t="s">
        <v>2542</v>
      </c>
      <c r="B65" t="s">
        <v>2624</v>
      </c>
      <c r="G65" s="2"/>
      <c r="J65" s="3"/>
      <c r="M65" s="4"/>
    </row>
    <row r="66" spans="1:13" x14ac:dyDescent="0.25">
      <c r="A66" s="7" t="s">
        <v>2543</v>
      </c>
      <c r="B66" t="s">
        <v>2625</v>
      </c>
      <c r="G66" s="2"/>
      <c r="J66" s="3"/>
      <c r="M66" s="4"/>
    </row>
    <row r="67" spans="1:13" x14ac:dyDescent="0.25">
      <c r="A67" s="7" t="s">
        <v>2544</v>
      </c>
      <c r="B67" t="s">
        <v>2626</v>
      </c>
      <c r="G67" s="2"/>
      <c r="J67" s="3"/>
      <c r="M67" s="4"/>
    </row>
    <row r="68" spans="1:13" x14ac:dyDescent="0.25">
      <c r="A68" s="7" t="s">
        <v>2545</v>
      </c>
      <c r="B68" t="s">
        <v>2627</v>
      </c>
      <c r="G68" s="2"/>
      <c r="J68" s="3"/>
      <c r="M68" s="4"/>
    </row>
    <row r="69" spans="1:13" x14ac:dyDescent="0.25">
      <c r="A69" s="7" t="s">
        <v>2546</v>
      </c>
      <c r="B69" t="s">
        <v>2628</v>
      </c>
      <c r="G69" s="2"/>
      <c r="J69" s="3"/>
      <c r="M69" s="4"/>
    </row>
    <row r="70" spans="1:13" x14ac:dyDescent="0.25">
      <c r="A70" s="7" t="s">
        <v>2547</v>
      </c>
      <c r="B70" t="s">
        <v>2629</v>
      </c>
      <c r="G70" s="2"/>
      <c r="J70" s="3"/>
      <c r="M70" s="4"/>
    </row>
    <row r="71" spans="1:13" x14ac:dyDescent="0.25">
      <c r="A71" s="7" t="s">
        <v>2548</v>
      </c>
      <c r="B71" t="s">
        <v>2630</v>
      </c>
      <c r="G71" s="2"/>
      <c r="J71" s="3"/>
      <c r="M71" s="4"/>
    </row>
    <row r="72" spans="1:13" x14ac:dyDescent="0.25">
      <c r="A72" s="7" t="s">
        <v>2549</v>
      </c>
      <c r="B72" t="s">
        <v>2631</v>
      </c>
      <c r="G72" s="2"/>
      <c r="J72" s="3"/>
      <c r="M72" s="4"/>
    </row>
    <row r="73" spans="1:13" x14ac:dyDescent="0.25">
      <c r="A73" s="7" t="s">
        <v>2550</v>
      </c>
      <c r="B73" t="s">
        <v>2632</v>
      </c>
      <c r="G73" s="2"/>
      <c r="J73" s="3"/>
      <c r="M73" s="4"/>
    </row>
    <row r="74" spans="1:13" x14ac:dyDescent="0.25">
      <c r="A74" s="7" t="s">
        <v>2551</v>
      </c>
      <c r="B74" t="s">
        <v>2633</v>
      </c>
      <c r="G74" s="2"/>
      <c r="J74" s="3"/>
      <c r="M74" s="4"/>
    </row>
    <row r="75" spans="1:13" x14ac:dyDescent="0.25">
      <c r="A75" s="7" t="s">
        <v>2552</v>
      </c>
      <c r="B75" t="s">
        <v>2634</v>
      </c>
      <c r="G75" s="2"/>
      <c r="J75" s="3"/>
      <c r="M75" s="4"/>
    </row>
    <row r="76" spans="1:13" x14ac:dyDescent="0.25">
      <c r="A76" s="7" t="s">
        <v>2553</v>
      </c>
      <c r="B76" t="s">
        <v>2635</v>
      </c>
      <c r="G76" s="2"/>
      <c r="J76" s="3"/>
      <c r="M76" s="4"/>
    </row>
    <row r="77" spans="1:13" x14ac:dyDescent="0.25">
      <c r="A77" s="28" t="s">
        <v>2554</v>
      </c>
      <c r="B77" t="s">
        <v>2636</v>
      </c>
      <c r="G77" s="2"/>
      <c r="J77" s="3"/>
      <c r="M77" s="4"/>
    </row>
    <row r="78" spans="1:13" x14ac:dyDescent="0.25">
      <c r="A78" s="7" t="s">
        <v>2555</v>
      </c>
      <c r="B78" t="s">
        <v>2637</v>
      </c>
      <c r="G78" s="2"/>
      <c r="J78" s="3"/>
      <c r="M78" s="4"/>
    </row>
    <row r="79" spans="1:13" x14ac:dyDescent="0.25">
      <c r="A79" s="7" t="s">
        <v>2556</v>
      </c>
      <c r="B79" t="s">
        <v>2638</v>
      </c>
      <c r="G79" s="2"/>
      <c r="J79" s="3"/>
      <c r="M79" s="4"/>
    </row>
    <row r="80" spans="1:13" x14ac:dyDescent="0.25">
      <c r="A80" s="7" t="s">
        <v>2557</v>
      </c>
      <c r="B80" t="s">
        <v>2639</v>
      </c>
      <c r="G80" s="2"/>
      <c r="J80" s="3"/>
      <c r="M80" s="4"/>
    </row>
    <row r="81" spans="1:13" x14ac:dyDescent="0.25">
      <c r="A81" s="7" t="s">
        <v>2558</v>
      </c>
      <c r="B81" t="s">
        <v>2640</v>
      </c>
      <c r="G81" s="2"/>
      <c r="J81" s="3"/>
      <c r="M81" s="4"/>
    </row>
    <row r="82" spans="1:13" x14ac:dyDescent="0.25">
      <c r="A82" s="7" t="s">
        <v>2559</v>
      </c>
      <c r="B82" t="s">
        <v>2641</v>
      </c>
      <c r="G82" s="2"/>
      <c r="J82" s="3"/>
      <c r="M82" s="4"/>
    </row>
    <row r="83" spans="1:13" x14ac:dyDescent="0.25">
      <c r="A83" s="7" t="s">
        <v>2560</v>
      </c>
      <c r="B83" t="s">
        <v>2642</v>
      </c>
      <c r="G83" s="2"/>
      <c r="J83" s="3"/>
      <c r="M83" s="4"/>
    </row>
    <row r="84" spans="1:13" x14ac:dyDescent="0.25">
      <c r="A84" s="7" t="s">
        <v>2561</v>
      </c>
      <c r="B84" t="s">
        <v>2643</v>
      </c>
      <c r="G84" s="2"/>
      <c r="J84" s="3"/>
      <c r="M84" s="4"/>
    </row>
    <row r="85" spans="1:13" x14ac:dyDescent="0.25">
      <c r="A85" s="7" t="s">
        <v>2562</v>
      </c>
      <c r="B85" t="s">
        <v>2644</v>
      </c>
      <c r="G85" s="2"/>
      <c r="J85" s="3"/>
      <c r="M85" s="4"/>
    </row>
    <row r="86" spans="1:13" x14ac:dyDescent="0.25">
      <c r="A86" s="7" t="s">
        <v>2563</v>
      </c>
      <c r="B86" t="s">
        <v>2645</v>
      </c>
      <c r="G86" s="2"/>
      <c r="J86" s="3"/>
      <c r="M86" s="4"/>
    </row>
    <row r="87" spans="1:13" x14ac:dyDescent="0.25">
      <c r="A87" t="s">
        <v>2912</v>
      </c>
      <c r="B87" t="s">
        <v>2920</v>
      </c>
      <c r="G87" s="2"/>
      <c r="J87" s="3"/>
      <c r="M87" s="4"/>
    </row>
    <row r="88" spans="1:13" x14ac:dyDescent="0.25">
      <c r="A88" t="s">
        <v>3142</v>
      </c>
      <c r="B88" t="s">
        <v>3145</v>
      </c>
      <c r="G88" s="2"/>
      <c r="J88" s="3"/>
      <c r="M88" s="4"/>
    </row>
    <row r="89" spans="1:13" x14ac:dyDescent="0.25">
      <c r="A89" t="s">
        <v>3143</v>
      </c>
      <c r="B89" t="s">
        <v>3150</v>
      </c>
      <c r="G89" s="2"/>
      <c r="J89" s="3"/>
      <c r="M89" s="4"/>
    </row>
    <row r="90" spans="1:13" x14ac:dyDescent="0.25">
      <c r="A90" s="17" t="s">
        <v>3162</v>
      </c>
      <c r="B90" s="8" t="s">
        <v>2596</v>
      </c>
      <c r="G90" s="2"/>
      <c r="J90" s="3"/>
      <c r="M90" s="4"/>
    </row>
    <row r="91" spans="1:13" x14ac:dyDescent="0.25">
      <c r="A91" s="18" t="s">
        <v>3164</v>
      </c>
      <c r="B91" s="8" t="s">
        <v>3165</v>
      </c>
      <c r="G91" s="2"/>
      <c r="J91" s="3"/>
      <c r="M91" s="4"/>
    </row>
    <row r="92" spans="1:13" x14ac:dyDescent="0.25">
      <c r="A92" s="9" t="s">
        <v>3166</v>
      </c>
      <c r="B92" s="8" t="s">
        <v>3179</v>
      </c>
      <c r="G92" s="2"/>
      <c r="J92" s="3"/>
      <c r="M92" s="4"/>
    </row>
    <row r="93" spans="1:13" x14ac:dyDescent="0.25">
      <c r="A93" t="s">
        <v>3171</v>
      </c>
      <c r="B93" t="s">
        <v>3173</v>
      </c>
      <c r="G93" s="2"/>
      <c r="J93" s="3"/>
      <c r="M93" s="4"/>
    </row>
    <row r="94" spans="1:13" x14ac:dyDescent="0.25">
      <c r="A94" t="s">
        <v>3172</v>
      </c>
      <c r="B94" t="s">
        <v>2571</v>
      </c>
      <c r="G94" s="2"/>
      <c r="J94" s="3"/>
      <c r="M94" s="4"/>
    </row>
    <row r="95" spans="1:13" x14ac:dyDescent="0.25">
      <c r="A95" t="s">
        <v>3181</v>
      </c>
      <c r="B95" t="s">
        <v>3182</v>
      </c>
      <c r="G95" s="2"/>
      <c r="J95" s="3"/>
      <c r="M95" s="4"/>
    </row>
    <row r="96" spans="1:13" x14ac:dyDescent="0.25">
      <c r="A96" t="s">
        <v>3183</v>
      </c>
      <c r="B96" t="s">
        <v>3184</v>
      </c>
      <c r="G96" s="2"/>
      <c r="J96" s="3"/>
      <c r="M96" s="4"/>
    </row>
    <row r="97" spans="7:13" x14ac:dyDescent="0.25">
      <c r="G97" s="2"/>
      <c r="J97" s="3"/>
      <c r="M97" s="4"/>
    </row>
    <row r="98" spans="7:13" x14ac:dyDescent="0.25">
      <c r="G98" s="2"/>
      <c r="J98" s="3"/>
      <c r="M98" s="4"/>
    </row>
    <row r="99" spans="7:13" x14ac:dyDescent="0.25">
      <c r="G99" s="2"/>
      <c r="J99" s="3"/>
      <c r="M99" s="4"/>
    </row>
    <row r="100" spans="7:13" x14ac:dyDescent="0.25">
      <c r="G100" s="2"/>
      <c r="J100" s="3"/>
      <c r="M100" s="4"/>
    </row>
    <row r="101" spans="7:13" x14ac:dyDescent="0.25">
      <c r="G101" s="2"/>
      <c r="J101" s="3"/>
      <c r="M101" s="4"/>
    </row>
    <row r="102" spans="7:13" x14ac:dyDescent="0.25">
      <c r="G102" s="2"/>
      <c r="J102" s="3"/>
      <c r="M102" s="4"/>
    </row>
    <row r="103" spans="7:13" x14ac:dyDescent="0.25">
      <c r="G103" s="2"/>
      <c r="J103" s="3"/>
      <c r="M103" s="4"/>
    </row>
    <row r="104" spans="7:13" x14ac:dyDescent="0.25">
      <c r="G104" s="2"/>
      <c r="J104" s="3"/>
      <c r="M104" s="4"/>
    </row>
    <row r="105" spans="7:13" x14ac:dyDescent="0.25">
      <c r="G105" s="2"/>
      <c r="J105" s="3"/>
      <c r="M105" s="4"/>
    </row>
    <row r="106" spans="7:13" x14ac:dyDescent="0.25">
      <c r="G106" s="2"/>
      <c r="J106" s="3"/>
      <c r="M106" s="4"/>
    </row>
    <row r="107" spans="7:13" x14ac:dyDescent="0.25">
      <c r="G107" s="2"/>
      <c r="J107" s="3"/>
      <c r="M107" s="4"/>
    </row>
    <row r="108" spans="7:13" x14ac:dyDescent="0.25">
      <c r="G108" s="2"/>
      <c r="J108" s="3"/>
      <c r="M108" s="4"/>
    </row>
    <row r="109" spans="7:13" x14ac:dyDescent="0.25">
      <c r="G109" s="2"/>
      <c r="J109" s="3"/>
      <c r="M109" s="4"/>
    </row>
    <row r="110" spans="7:13" x14ac:dyDescent="0.25">
      <c r="G110" s="2"/>
      <c r="J110" s="3"/>
      <c r="M110" s="4"/>
    </row>
    <row r="111" spans="7:13" x14ac:dyDescent="0.25">
      <c r="G111" s="2"/>
      <c r="J111" s="3"/>
      <c r="M111" s="4"/>
    </row>
    <row r="112" spans="7:13" x14ac:dyDescent="0.25">
      <c r="G112" s="2"/>
      <c r="J112" s="3"/>
      <c r="M112" s="4"/>
    </row>
    <row r="113" spans="7:13" x14ac:dyDescent="0.25">
      <c r="G113" s="2"/>
      <c r="J113" s="3"/>
      <c r="M113" s="4"/>
    </row>
    <row r="114" spans="7:13" x14ac:dyDescent="0.25">
      <c r="G114" s="2"/>
      <c r="J114" s="3"/>
      <c r="M114" s="4"/>
    </row>
    <row r="115" spans="7:13" x14ac:dyDescent="0.25">
      <c r="G115" s="2"/>
      <c r="J115" s="3"/>
      <c r="M115" s="4"/>
    </row>
    <row r="116" spans="7:13" x14ac:dyDescent="0.25">
      <c r="G116" s="2"/>
      <c r="J116" s="3"/>
      <c r="M116" s="4"/>
    </row>
    <row r="117" spans="7:13" x14ac:dyDescent="0.25">
      <c r="G117" s="2"/>
      <c r="J117" s="3"/>
      <c r="M117" s="4"/>
    </row>
    <row r="118" spans="7:13" x14ac:dyDescent="0.25">
      <c r="G118" s="2"/>
      <c r="J118" s="3"/>
      <c r="M118" s="4"/>
    </row>
    <row r="119" spans="7:13" x14ac:dyDescent="0.25">
      <c r="G119" s="2"/>
      <c r="J119" s="3"/>
      <c r="M119" s="4"/>
    </row>
    <row r="120" spans="7:13" x14ac:dyDescent="0.25">
      <c r="G120" s="2"/>
      <c r="J120" s="3"/>
      <c r="M120" s="4"/>
    </row>
    <row r="121" spans="7:13" x14ac:dyDescent="0.25">
      <c r="G121" s="2"/>
      <c r="J121" s="3"/>
      <c r="M121" s="4"/>
    </row>
    <row r="122" spans="7:13" x14ac:dyDescent="0.25">
      <c r="G122" s="2"/>
      <c r="J122" s="3"/>
      <c r="M122" s="4"/>
    </row>
    <row r="123" spans="7:13" x14ac:dyDescent="0.25">
      <c r="G123" s="2"/>
      <c r="J123" s="3"/>
      <c r="M123" s="4"/>
    </row>
    <row r="124" spans="7:13" x14ac:dyDescent="0.25">
      <c r="G124" s="2"/>
      <c r="J124" s="3"/>
      <c r="M124" s="4"/>
    </row>
    <row r="125" spans="7:13" x14ac:dyDescent="0.25">
      <c r="G125" s="2"/>
      <c r="J125" s="3"/>
      <c r="M125" s="4"/>
    </row>
    <row r="126" spans="7:13" x14ac:dyDescent="0.25">
      <c r="G126" s="2"/>
      <c r="J126" s="3"/>
      <c r="M126" s="4"/>
    </row>
    <row r="127" spans="7:13" x14ac:dyDescent="0.25">
      <c r="G127" s="2"/>
      <c r="J127" s="3"/>
      <c r="M127" s="4"/>
    </row>
    <row r="128" spans="7:13" x14ac:dyDescent="0.25">
      <c r="G128" s="2"/>
      <c r="J128" s="3"/>
      <c r="M128" s="4"/>
    </row>
    <row r="129" spans="7:13" x14ac:dyDescent="0.25">
      <c r="G129" s="2"/>
      <c r="J129" s="3"/>
      <c r="M129" s="4"/>
    </row>
    <row r="130" spans="7:13" x14ac:dyDescent="0.25">
      <c r="G130" s="2"/>
      <c r="J130" s="3"/>
      <c r="M130" s="4"/>
    </row>
    <row r="131" spans="7:13" x14ac:dyDescent="0.25">
      <c r="G131" s="2"/>
      <c r="J131" s="3"/>
      <c r="M131" s="4"/>
    </row>
    <row r="132" spans="7:13" x14ac:dyDescent="0.25">
      <c r="G132" s="2"/>
      <c r="J132" s="3"/>
      <c r="M132" s="4"/>
    </row>
    <row r="133" spans="7:13" x14ac:dyDescent="0.25">
      <c r="G133" s="2"/>
      <c r="J133" s="3"/>
      <c r="M133" s="4"/>
    </row>
    <row r="134" spans="7:13" x14ac:dyDescent="0.25">
      <c r="G134" s="2"/>
      <c r="J134" s="3"/>
      <c r="M134" s="4"/>
    </row>
    <row r="135" spans="7:13" x14ac:dyDescent="0.25">
      <c r="G135" s="2"/>
      <c r="J135" s="3"/>
      <c r="M135" s="4"/>
    </row>
    <row r="136" spans="7:13" x14ac:dyDescent="0.25">
      <c r="G136" s="2"/>
      <c r="J136" s="3"/>
      <c r="M136" s="4"/>
    </row>
    <row r="137" spans="7:13" x14ac:dyDescent="0.25">
      <c r="G137" s="2"/>
      <c r="J137" s="3"/>
      <c r="M137" s="4"/>
    </row>
    <row r="138" spans="7:13" x14ac:dyDescent="0.25">
      <c r="G138" s="2"/>
      <c r="J138" s="3"/>
      <c r="M138" s="4"/>
    </row>
    <row r="139" spans="7:13" x14ac:dyDescent="0.25">
      <c r="G139" s="2"/>
      <c r="J139" s="3"/>
      <c r="M139" s="4"/>
    </row>
    <row r="140" spans="7:13" x14ac:dyDescent="0.25">
      <c r="G140" s="2"/>
      <c r="J140" s="3"/>
      <c r="M140" s="4"/>
    </row>
    <row r="141" spans="7:13" x14ac:dyDescent="0.25">
      <c r="G141" s="2"/>
      <c r="J141" s="3"/>
      <c r="M141" s="4"/>
    </row>
    <row r="142" spans="7:13" x14ac:dyDescent="0.25">
      <c r="G142" s="2"/>
      <c r="J142" s="3"/>
      <c r="M142" s="4"/>
    </row>
    <row r="143" spans="7:13" x14ac:dyDescent="0.25">
      <c r="G143" s="2"/>
      <c r="J143" s="3"/>
      <c r="M143" s="4"/>
    </row>
    <row r="144" spans="7:13" x14ac:dyDescent="0.25">
      <c r="G144" s="2"/>
      <c r="J144" s="3"/>
      <c r="M144" s="4"/>
    </row>
    <row r="145" spans="7:13" x14ac:dyDescent="0.25">
      <c r="G145" s="2"/>
      <c r="J145" s="3"/>
      <c r="M145" s="4"/>
    </row>
    <row r="146" spans="7:13" x14ac:dyDescent="0.25">
      <c r="G146" s="2"/>
      <c r="J146" s="3"/>
      <c r="M146" s="4"/>
    </row>
    <row r="147" spans="7:13" x14ac:dyDescent="0.25">
      <c r="G147" s="2"/>
      <c r="J147" s="3"/>
      <c r="M147" s="4"/>
    </row>
    <row r="148" spans="7:13" x14ac:dyDescent="0.25">
      <c r="G148" s="2"/>
      <c r="J148" s="3"/>
      <c r="M148" s="4"/>
    </row>
    <row r="149" spans="7:13" x14ac:dyDescent="0.25">
      <c r="G149" s="2"/>
      <c r="J149" s="3"/>
      <c r="M149" s="4"/>
    </row>
    <row r="150" spans="7:13" x14ac:dyDescent="0.25">
      <c r="G150" s="2"/>
      <c r="J150" s="3"/>
      <c r="M150" s="4"/>
    </row>
    <row r="151" spans="7:13" x14ac:dyDescent="0.25">
      <c r="G151" s="2"/>
      <c r="J151" s="3"/>
      <c r="M151" s="4"/>
    </row>
    <row r="152" spans="7:13" x14ac:dyDescent="0.25">
      <c r="G152" s="2"/>
      <c r="J152" s="3"/>
      <c r="M152" s="4"/>
    </row>
    <row r="153" spans="7:13" x14ac:dyDescent="0.25">
      <c r="G153" s="2"/>
      <c r="J153" s="3"/>
      <c r="M153" s="4"/>
    </row>
    <row r="154" spans="7:13" x14ac:dyDescent="0.25">
      <c r="G154" s="2"/>
      <c r="J154" s="3"/>
      <c r="M154" s="4"/>
    </row>
    <row r="155" spans="7:13" x14ac:dyDescent="0.25">
      <c r="G155" s="2"/>
      <c r="J155" s="3"/>
      <c r="M155" s="4"/>
    </row>
    <row r="156" spans="7:13" x14ac:dyDescent="0.25">
      <c r="G156" s="2"/>
      <c r="J156" s="3"/>
      <c r="M156" s="4"/>
    </row>
    <row r="157" spans="7:13" x14ac:dyDescent="0.25">
      <c r="G157" s="2"/>
      <c r="J157" s="3"/>
      <c r="M157" s="4"/>
    </row>
    <row r="158" spans="7:13" x14ac:dyDescent="0.25">
      <c r="G158" s="2"/>
      <c r="J158" s="3"/>
      <c r="M158" s="4"/>
    </row>
    <row r="159" spans="7:13" x14ac:dyDescent="0.25">
      <c r="G159" s="2"/>
      <c r="J159" s="3"/>
      <c r="M159" s="4"/>
    </row>
    <row r="160" spans="7:13" x14ac:dyDescent="0.25">
      <c r="G160" s="2"/>
      <c r="J160" s="3"/>
      <c r="M160" s="4"/>
    </row>
    <row r="161" spans="7:13" x14ac:dyDescent="0.25">
      <c r="G161" s="2"/>
      <c r="J161" s="3"/>
      <c r="M161" s="4"/>
    </row>
    <row r="162" spans="7:13" x14ac:dyDescent="0.25">
      <c r="G162" s="2"/>
      <c r="J162" s="3"/>
      <c r="M162" s="4"/>
    </row>
    <row r="163" spans="7:13" x14ac:dyDescent="0.25">
      <c r="G163" s="2"/>
      <c r="J163" s="3"/>
      <c r="M163" s="4"/>
    </row>
    <row r="164" spans="7:13" x14ac:dyDescent="0.25">
      <c r="G164" s="2"/>
      <c r="J164" s="3"/>
      <c r="M164" s="4"/>
    </row>
    <row r="165" spans="7:13" x14ac:dyDescent="0.25">
      <c r="G165" s="2"/>
      <c r="J165" s="3"/>
      <c r="M165" s="4"/>
    </row>
    <row r="166" spans="7:13" x14ac:dyDescent="0.25">
      <c r="G166" s="2"/>
      <c r="J166" s="3"/>
      <c r="M166" s="4"/>
    </row>
    <row r="167" spans="7:13" x14ac:dyDescent="0.25">
      <c r="G167" s="2"/>
      <c r="J167" s="3"/>
      <c r="M167" s="4"/>
    </row>
    <row r="168" spans="7:13" x14ac:dyDescent="0.25">
      <c r="G168" s="2"/>
      <c r="J168" s="3"/>
      <c r="M168" s="4"/>
    </row>
    <row r="169" spans="7:13" x14ac:dyDescent="0.25">
      <c r="G169" s="2"/>
      <c r="J169" s="3"/>
      <c r="M169" s="4"/>
    </row>
    <row r="170" spans="7:13" x14ac:dyDescent="0.25">
      <c r="G170" s="2"/>
      <c r="J170" s="3"/>
      <c r="M170" s="4"/>
    </row>
    <row r="171" spans="7:13" x14ac:dyDescent="0.25">
      <c r="G171" s="2"/>
      <c r="J171" s="3"/>
      <c r="M171" s="4"/>
    </row>
    <row r="172" spans="7:13" x14ac:dyDescent="0.25">
      <c r="G172" s="2"/>
      <c r="J172" s="3"/>
      <c r="M172" s="4"/>
    </row>
    <row r="173" spans="7:13" x14ac:dyDescent="0.25">
      <c r="G173" s="2"/>
      <c r="J173" s="3"/>
      <c r="M173" s="4"/>
    </row>
    <row r="174" spans="7:13" x14ac:dyDescent="0.25">
      <c r="G174" s="2"/>
      <c r="J174" s="3"/>
      <c r="M174" s="4"/>
    </row>
    <row r="175" spans="7:13" x14ac:dyDescent="0.25">
      <c r="G175" s="2"/>
      <c r="J175" s="3"/>
      <c r="M175" s="4"/>
    </row>
    <row r="176" spans="7:13" x14ac:dyDescent="0.25">
      <c r="G176" s="2"/>
      <c r="J176" s="3"/>
      <c r="M176" s="4"/>
    </row>
    <row r="177" spans="7:13" x14ac:dyDescent="0.25">
      <c r="G177" s="2"/>
      <c r="J177" s="3"/>
      <c r="M177" s="4"/>
    </row>
    <row r="178" spans="7:13" x14ac:dyDescent="0.25">
      <c r="G178" s="2"/>
      <c r="J178" s="3"/>
      <c r="M178" s="4"/>
    </row>
    <row r="179" spans="7:13" x14ac:dyDescent="0.25">
      <c r="G179" s="2"/>
      <c r="J179" s="3"/>
      <c r="M179" s="4"/>
    </row>
    <row r="180" spans="7:13" x14ac:dyDescent="0.25">
      <c r="G180" s="2"/>
      <c r="J180" s="3"/>
      <c r="M180" s="4"/>
    </row>
    <row r="181" spans="7:13" x14ac:dyDescent="0.25">
      <c r="G181" s="2"/>
      <c r="J181" s="3"/>
      <c r="M181" s="4"/>
    </row>
    <row r="182" spans="7:13" x14ac:dyDescent="0.25">
      <c r="G182" s="2"/>
      <c r="J182" s="3"/>
      <c r="M182" s="4"/>
    </row>
    <row r="183" spans="7:13" x14ac:dyDescent="0.25">
      <c r="G183" s="2"/>
      <c r="J183" s="3"/>
      <c r="M183" s="4"/>
    </row>
    <row r="184" spans="7:13" x14ac:dyDescent="0.25">
      <c r="G184" s="2"/>
      <c r="J184" s="3"/>
      <c r="M184" s="4"/>
    </row>
    <row r="185" spans="7:13" x14ac:dyDescent="0.25">
      <c r="G185" s="2"/>
      <c r="J185" s="3"/>
      <c r="M185" s="4"/>
    </row>
    <row r="186" spans="7:13" x14ac:dyDescent="0.25">
      <c r="G186" s="2"/>
      <c r="J186" s="3"/>
      <c r="M186" s="4"/>
    </row>
    <row r="187" spans="7:13" x14ac:dyDescent="0.25">
      <c r="G187" s="2"/>
      <c r="J187" s="3"/>
      <c r="M187" s="4"/>
    </row>
    <row r="188" spans="7:13" x14ac:dyDescent="0.25">
      <c r="G188" s="2"/>
      <c r="J188" s="3"/>
      <c r="M188" s="4"/>
    </row>
    <row r="189" spans="7:13" x14ac:dyDescent="0.25">
      <c r="G189" s="2"/>
      <c r="J189" s="3"/>
      <c r="M189" s="4"/>
    </row>
    <row r="190" spans="7:13" x14ac:dyDescent="0.25">
      <c r="G190" s="2"/>
      <c r="J190" s="3"/>
      <c r="M190" s="4"/>
    </row>
    <row r="191" spans="7:13" x14ac:dyDescent="0.25">
      <c r="G191" s="2"/>
      <c r="J191" s="3"/>
      <c r="M191" s="4"/>
    </row>
    <row r="192" spans="7:13" x14ac:dyDescent="0.25">
      <c r="G192" s="2"/>
      <c r="J192" s="3"/>
      <c r="M192" s="4"/>
    </row>
    <row r="193" spans="7:13" x14ac:dyDescent="0.25">
      <c r="G193" s="2"/>
      <c r="J193" s="3"/>
      <c r="M193" s="4"/>
    </row>
    <row r="194" spans="7:13" x14ac:dyDescent="0.25">
      <c r="G194" s="2"/>
      <c r="J194" s="3"/>
      <c r="M194" s="4"/>
    </row>
    <row r="195" spans="7:13" x14ac:dyDescent="0.25">
      <c r="G195" s="2"/>
      <c r="J195" s="3"/>
      <c r="M195" s="4"/>
    </row>
    <row r="196" spans="7:13" x14ac:dyDescent="0.25">
      <c r="G196" s="2"/>
      <c r="J196" s="3"/>
      <c r="M196" s="4"/>
    </row>
    <row r="197" spans="7:13" x14ac:dyDescent="0.25">
      <c r="G197" s="2"/>
      <c r="J197" s="3"/>
      <c r="M197" s="4"/>
    </row>
    <row r="198" spans="7:13" x14ac:dyDescent="0.25">
      <c r="G198" s="2"/>
      <c r="J198" s="3"/>
      <c r="M198" s="4"/>
    </row>
    <row r="199" spans="7:13" x14ac:dyDescent="0.25">
      <c r="G199" s="2"/>
      <c r="J199" s="3"/>
      <c r="M199" s="4"/>
    </row>
    <row r="200" spans="7:13" x14ac:dyDescent="0.25">
      <c r="G200" s="2"/>
      <c r="J200" s="3"/>
      <c r="M200" s="4"/>
    </row>
    <row r="201" spans="7:13" x14ac:dyDescent="0.25">
      <c r="G201" s="2"/>
      <c r="J201" s="3"/>
      <c r="M201" s="4"/>
    </row>
    <row r="202" spans="7:13" x14ac:dyDescent="0.25">
      <c r="G202" s="2"/>
      <c r="J202" s="3"/>
      <c r="M202" s="4"/>
    </row>
    <row r="203" spans="7:13" x14ac:dyDescent="0.25">
      <c r="G203" s="2"/>
      <c r="J203" s="3"/>
      <c r="M203" s="4"/>
    </row>
    <row r="204" spans="7:13" x14ac:dyDescent="0.25">
      <c r="G204" s="2"/>
      <c r="J204" s="3"/>
      <c r="M204" s="4"/>
    </row>
    <row r="205" spans="7:13" x14ac:dyDescent="0.25">
      <c r="G205" s="2"/>
      <c r="J205" s="3"/>
      <c r="M205" s="4"/>
    </row>
    <row r="206" spans="7:13" x14ac:dyDescent="0.25">
      <c r="G206" s="2"/>
      <c r="J206" s="3"/>
      <c r="M206" s="4"/>
    </row>
    <row r="207" spans="7:13" x14ac:dyDescent="0.25">
      <c r="G207" s="2"/>
      <c r="J207" s="3"/>
      <c r="M207" s="4"/>
    </row>
    <row r="208" spans="7:13" x14ac:dyDescent="0.25">
      <c r="G208" s="2"/>
      <c r="J208" s="3"/>
      <c r="M208" s="4"/>
    </row>
    <row r="209" spans="7:13" x14ac:dyDescent="0.25">
      <c r="G209" s="2"/>
      <c r="J209" s="3"/>
      <c r="M209" s="4"/>
    </row>
    <row r="210" spans="7:13" x14ac:dyDescent="0.25">
      <c r="G210" s="2"/>
      <c r="J210" s="3"/>
      <c r="M210" s="4"/>
    </row>
    <row r="211" spans="7:13" x14ac:dyDescent="0.25">
      <c r="G211" s="2"/>
      <c r="J211" s="3"/>
      <c r="M211" s="4"/>
    </row>
    <row r="212" spans="7:13" x14ac:dyDescent="0.25">
      <c r="G212" s="2"/>
      <c r="J212" s="3"/>
      <c r="M212" s="4"/>
    </row>
    <row r="213" spans="7:13" x14ac:dyDescent="0.25">
      <c r="G213" s="2"/>
      <c r="J213" s="3"/>
      <c r="M213" s="4"/>
    </row>
    <row r="214" spans="7:13" x14ac:dyDescent="0.25">
      <c r="G214" s="2"/>
      <c r="J214" s="3"/>
      <c r="M214" s="4"/>
    </row>
    <row r="215" spans="7:13" x14ac:dyDescent="0.25">
      <c r="G215" s="2"/>
      <c r="J215" s="3"/>
      <c r="M215" s="4"/>
    </row>
    <row r="216" spans="7:13" x14ac:dyDescent="0.25">
      <c r="G216" s="2"/>
      <c r="J216" s="3"/>
      <c r="M216" s="4"/>
    </row>
    <row r="217" spans="7:13" x14ac:dyDescent="0.25">
      <c r="G217" s="2"/>
      <c r="J217" s="3"/>
      <c r="M217" s="4"/>
    </row>
    <row r="218" spans="7:13" x14ac:dyDescent="0.25">
      <c r="G218" s="2"/>
      <c r="J218" s="3"/>
      <c r="M218" s="4"/>
    </row>
    <row r="219" spans="7:13" x14ac:dyDescent="0.25">
      <c r="G219" s="2"/>
      <c r="J219" s="3"/>
      <c r="M219" s="4"/>
    </row>
    <row r="220" spans="7:13" x14ac:dyDescent="0.25">
      <c r="G220" s="2"/>
      <c r="J220" s="3"/>
      <c r="M220" s="4"/>
    </row>
    <row r="221" spans="7:13" x14ac:dyDescent="0.25">
      <c r="G221" s="2"/>
      <c r="J221" s="3"/>
      <c r="M221" s="4"/>
    </row>
    <row r="222" spans="7:13" x14ac:dyDescent="0.25">
      <c r="G222" s="2"/>
      <c r="J222" s="3"/>
      <c r="M222" s="4"/>
    </row>
    <row r="223" spans="7:13" x14ac:dyDescent="0.25">
      <c r="G223" s="2"/>
      <c r="J223" s="3"/>
      <c r="M223" s="4"/>
    </row>
    <row r="224" spans="7:13" x14ac:dyDescent="0.25">
      <c r="G224" s="2"/>
      <c r="J224" s="3"/>
      <c r="M224" s="4"/>
    </row>
    <row r="225" spans="7:13" x14ac:dyDescent="0.25">
      <c r="G225" s="2"/>
      <c r="J225" s="3"/>
      <c r="M225" s="4"/>
    </row>
    <row r="226" spans="7:13" x14ac:dyDescent="0.25">
      <c r="G226" s="2"/>
      <c r="J226" s="3"/>
      <c r="M226" s="4"/>
    </row>
    <row r="227" spans="7:13" x14ac:dyDescent="0.25">
      <c r="G227" s="2"/>
      <c r="J227" s="3"/>
      <c r="M227" s="4"/>
    </row>
    <row r="228" spans="7:13" x14ac:dyDescent="0.25">
      <c r="G228" s="2"/>
      <c r="J228" s="3"/>
      <c r="M228" s="4"/>
    </row>
    <row r="229" spans="7:13" x14ac:dyDescent="0.25">
      <c r="G229" s="2"/>
      <c r="J229" s="3"/>
      <c r="M229" s="4"/>
    </row>
    <row r="230" spans="7:13" x14ac:dyDescent="0.25">
      <c r="G230" s="2"/>
      <c r="J230" s="3"/>
      <c r="M230" s="4"/>
    </row>
    <row r="231" spans="7:13" x14ac:dyDescent="0.25">
      <c r="G231" s="2"/>
      <c r="J231" s="3"/>
      <c r="M231" s="4"/>
    </row>
    <row r="232" spans="7:13" x14ac:dyDescent="0.25">
      <c r="G232" s="2"/>
      <c r="J232" s="3"/>
      <c r="M232" s="4"/>
    </row>
    <row r="233" spans="7:13" x14ac:dyDescent="0.25">
      <c r="G233" s="2"/>
      <c r="J233" s="3"/>
      <c r="M233" s="4"/>
    </row>
    <row r="234" spans="7:13" x14ac:dyDescent="0.25">
      <c r="G234" s="2"/>
      <c r="J234" s="3"/>
      <c r="M234" s="4"/>
    </row>
    <row r="235" spans="7:13" x14ac:dyDescent="0.25">
      <c r="G235" s="2"/>
      <c r="J235" s="3"/>
      <c r="M235" s="4"/>
    </row>
    <row r="236" spans="7:13" x14ac:dyDescent="0.25">
      <c r="G236" s="2"/>
      <c r="J236" s="3"/>
      <c r="M236" s="4"/>
    </row>
    <row r="237" spans="7:13" x14ac:dyDescent="0.25">
      <c r="G237" s="2"/>
      <c r="J237" s="3"/>
      <c r="M237" s="4"/>
    </row>
    <row r="238" spans="7:13" x14ac:dyDescent="0.25">
      <c r="G238" s="2"/>
      <c r="J238" s="3"/>
      <c r="M238" s="4"/>
    </row>
    <row r="239" spans="7:13" x14ac:dyDescent="0.25">
      <c r="G239" s="2"/>
      <c r="J239" s="3"/>
      <c r="M239" s="4"/>
    </row>
    <row r="240" spans="7:13" x14ac:dyDescent="0.25">
      <c r="G240" s="2"/>
      <c r="J240" s="3"/>
      <c r="M240" s="4"/>
    </row>
    <row r="241" spans="7:13" x14ac:dyDescent="0.25">
      <c r="G241" s="2"/>
      <c r="J241" s="3"/>
      <c r="M241" s="4"/>
    </row>
    <row r="242" spans="7:13" x14ac:dyDescent="0.25">
      <c r="G242" s="2"/>
      <c r="J242" s="3"/>
      <c r="M242" s="4"/>
    </row>
    <row r="243" spans="7:13" x14ac:dyDescent="0.25">
      <c r="G243" s="2"/>
      <c r="J243" s="3"/>
      <c r="M243" s="4"/>
    </row>
    <row r="244" spans="7:13" x14ac:dyDescent="0.25">
      <c r="G244" s="2"/>
      <c r="J244" s="3"/>
      <c r="M244" s="4"/>
    </row>
    <row r="245" spans="7:13" x14ac:dyDescent="0.25">
      <c r="G245" s="2"/>
      <c r="J245" s="3"/>
      <c r="M245" s="4"/>
    </row>
    <row r="246" spans="7:13" x14ac:dyDescent="0.25">
      <c r="G246" s="2"/>
      <c r="J246" s="3"/>
      <c r="M246" s="4"/>
    </row>
    <row r="247" spans="7:13" x14ac:dyDescent="0.25">
      <c r="G247" s="2"/>
      <c r="J247" s="3"/>
      <c r="M247" s="4"/>
    </row>
    <row r="248" spans="7:13" x14ac:dyDescent="0.25">
      <c r="G248" s="2"/>
      <c r="J248" s="3"/>
      <c r="M248" s="4"/>
    </row>
    <row r="249" spans="7:13" x14ac:dyDescent="0.25">
      <c r="G249" s="2"/>
      <c r="J249" s="3"/>
      <c r="M249" s="4"/>
    </row>
    <row r="250" spans="7:13" x14ac:dyDescent="0.25">
      <c r="G250" s="2"/>
      <c r="J250" s="3"/>
      <c r="M250" s="4"/>
    </row>
    <row r="251" spans="7:13" x14ac:dyDescent="0.25">
      <c r="G251" s="2"/>
      <c r="J251" s="3"/>
      <c r="M251" s="4"/>
    </row>
    <row r="252" spans="7:13" x14ac:dyDescent="0.25">
      <c r="G252" s="2"/>
      <c r="J252" s="3"/>
      <c r="M252" s="4"/>
    </row>
    <row r="253" spans="7:13" x14ac:dyDescent="0.25">
      <c r="G253" s="2"/>
      <c r="J253" s="3"/>
      <c r="M253" s="4"/>
    </row>
    <row r="254" spans="7:13" x14ac:dyDescent="0.25">
      <c r="G254" s="2"/>
      <c r="J254" s="3"/>
      <c r="M254" s="4"/>
    </row>
    <row r="255" spans="7:13" x14ac:dyDescent="0.25">
      <c r="G255" s="2"/>
      <c r="J255" s="3"/>
      <c r="M255" s="4"/>
    </row>
    <row r="256" spans="7:13" x14ac:dyDescent="0.25">
      <c r="G256" s="2"/>
      <c r="J256" s="3"/>
      <c r="M256" s="4"/>
    </row>
    <row r="257" spans="7:13" x14ac:dyDescent="0.25">
      <c r="G257" s="2"/>
      <c r="J257" s="3"/>
      <c r="M257" s="4"/>
    </row>
    <row r="258" spans="7:13" x14ac:dyDescent="0.25">
      <c r="G258" s="2"/>
      <c r="J258" s="3"/>
      <c r="M258" s="4"/>
    </row>
    <row r="259" spans="7:13" x14ac:dyDescent="0.25">
      <c r="G259" s="2"/>
      <c r="J259" s="3"/>
      <c r="M259" s="4"/>
    </row>
    <row r="260" spans="7:13" x14ac:dyDescent="0.25">
      <c r="G260" s="2"/>
      <c r="J260" s="3"/>
      <c r="M260" s="4"/>
    </row>
    <row r="261" spans="7:13" x14ac:dyDescent="0.25">
      <c r="G261" s="2"/>
      <c r="J261" s="3"/>
      <c r="M261" s="4"/>
    </row>
    <row r="262" spans="7:13" x14ac:dyDescent="0.25">
      <c r="G262" s="2"/>
      <c r="J262" s="3"/>
      <c r="M262" s="4"/>
    </row>
    <row r="263" spans="7:13" x14ac:dyDescent="0.25">
      <c r="G263" s="2"/>
      <c r="J263" s="3"/>
      <c r="M263" s="4"/>
    </row>
    <row r="264" spans="7:13" x14ac:dyDescent="0.25">
      <c r="G264" s="2"/>
      <c r="J264" s="3"/>
      <c r="M264" s="4"/>
    </row>
    <row r="265" spans="7:13" x14ac:dyDescent="0.25">
      <c r="G265" s="2"/>
      <c r="J265" s="3"/>
      <c r="M265" s="4"/>
    </row>
    <row r="266" spans="7:13" x14ac:dyDescent="0.25">
      <c r="G266" s="2"/>
      <c r="J266" s="3"/>
      <c r="M266" s="4"/>
    </row>
    <row r="267" spans="7:13" x14ac:dyDescent="0.25">
      <c r="G267" s="2"/>
      <c r="J267" s="3"/>
      <c r="M267" s="4"/>
    </row>
    <row r="268" spans="7:13" x14ac:dyDescent="0.25">
      <c r="G268" s="2"/>
      <c r="J268" s="3"/>
      <c r="M268" s="4"/>
    </row>
    <row r="269" spans="7:13" x14ac:dyDescent="0.25">
      <c r="G269" s="2"/>
      <c r="J269" s="3"/>
      <c r="M269" s="4"/>
    </row>
    <row r="270" spans="7:13" x14ac:dyDescent="0.25">
      <c r="G270" s="2"/>
      <c r="J270" s="3"/>
      <c r="M270" s="4"/>
    </row>
    <row r="271" spans="7:13" x14ac:dyDescent="0.25">
      <c r="G271" s="2"/>
      <c r="J271" s="3"/>
      <c r="M271" s="4"/>
    </row>
    <row r="272" spans="7:13" x14ac:dyDescent="0.25">
      <c r="G272" s="2"/>
      <c r="J272" s="3"/>
      <c r="M272" s="4"/>
    </row>
    <row r="273" spans="7:13" x14ac:dyDescent="0.25">
      <c r="G273" s="2"/>
      <c r="J273" s="3"/>
      <c r="M273" s="4"/>
    </row>
    <row r="274" spans="7:13" x14ac:dyDescent="0.25">
      <c r="G274" s="2"/>
      <c r="J274" s="3"/>
      <c r="M274" s="4"/>
    </row>
    <row r="275" spans="7:13" x14ac:dyDescent="0.25">
      <c r="G275" s="2"/>
      <c r="J275" s="3"/>
      <c r="M275" s="4"/>
    </row>
    <row r="276" spans="7:13" x14ac:dyDescent="0.25">
      <c r="G276" s="2"/>
      <c r="J276" s="3"/>
      <c r="M276" s="4"/>
    </row>
    <row r="277" spans="7:13" x14ac:dyDescent="0.25">
      <c r="G277" s="2"/>
      <c r="J277" s="3"/>
      <c r="M277" s="4"/>
    </row>
    <row r="278" spans="7:13" x14ac:dyDescent="0.25">
      <c r="G278" s="2"/>
      <c r="J278" s="3"/>
      <c r="M278" s="4"/>
    </row>
    <row r="279" spans="7:13" x14ac:dyDescent="0.25">
      <c r="G279" s="2"/>
      <c r="J279" s="3"/>
      <c r="M279" s="4"/>
    </row>
    <row r="280" spans="7:13" x14ac:dyDescent="0.25">
      <c r="G280" s="2"/>
      <c r="J280" s="3"/>
      <c r="M280" s="4"/>
    </row>
    <row r="281" spans="7:13" x14ac:dyDescent="0.25">
      <c r="G281" s="2"/>
      <c r="J281" s="3"/>
      <c r="M281" s="4"/>
    </row>
    <row r="282" spans="7:13" x14ac:dyDescent="0.25">
      <c r="G282" s="2"/>
      <c r="J282" s="3"/>
      <c r="M282" s="4"/>
    </row>
    <row r="283" spans="7:13" x14ac:dyDescent="0.25">
      <c r="G283" s="2"/>
      <c r="J283" s="3"/>
      <c r="M283" s="4"/>
    </row>
    <row r="284" spans="7:13" x14ac:dyDescent="0.25">
      <c r="G284" s="2"/>
      <c r="J284" s="3"/>
      <c r="M284" s="4"/>
    </row>
    <row r="285" spans="7:13" x14ac:dyDescent="0.25">
      <c r="G285" s="2"/>
      <c r="J285" s="3"/>
      <c r="M285" s="4"/>
    </row>
    <row r="286" spans="7:13" x14ac:dyDescent="0.25">
      <c r="G286" s="2"/>
      <c r="J286" s="3"/>
      <c r="M286" s="4"/>
    </row>
    <row r="287" spans="7:13" x14ac:dyDescent="0.25">
      <c r="G287" s="2"/>
      <c r="J287" s="3"/>
      <c r="M287" s="4"/>
    </row>
    <row r="288" spans="7:13" x14ac:dyDescent="0.25">
      <c r="G288" s="2"/>
      <c r="J288" s="3"/>
      <c r="M288" s="4"/>
    </row>
    <row r="289" spans="7:13" x14ac:dyDescent="0.25">
      <c r="G289" s="2"/>
      <c r="J289" s="3"/>
      <c r="M289" s="4"/>
    </row>
    <row r="290" spans="7:13" x14ac:dyDescent="0.25">
      <c r="G290" s="2"/>
      <c r="J290" s="3"/>
      <c r="M290" s="4"/>
    </row>
    <row r="291" spans="7:13" x14ac:dyDescent="0.25">
      <c r="G291" s="2"/>
      <c r="J291" s="3"/>
      <c r="M291" s="4"/>
    </row>
    <row r="292" spans="7:13" x14ac:dyDescent="0.25">
      <c r="G292" s="2"/>
      <c r="J292" s="3"/>
      <c r="M292" s="4"/>
    </row>
    <row r="293" spans="7:13" x14ac:dyDescent="0.25">
      <c r="G293" s="2"/>
      <c r="J293" s="3"/>
      <c r="M293" s="4"/>
    </row>
    <row r="294" spans="7:13" x14ac:dyDescent="0.25">
      <c r="G294" s="2"/>
      <c r="J294" s="3"/>
      <c r="M294" s="4"/>
    </row>
    <row r="295" spans="7:13" x14ac:dyDescent="0.25">
      <c r="G295" s="2"/>
      <c r="J295" s="3"/>
      <c r="M295" s="4"/>
    </row>
    <row r="296" spans="7:13" x14ac:dyDescent="0.25">
      <c r="G296" s="2"/>
      <c r="J296" s="3"/>
      <c r="M296" s="4"/>
    </row>
    <row r="297" spans="7:13" x14ac:dyDescent="0.25">
      <c r="G297" s="2"/>
      <c r="J297" s="3"/>
      <c r="M297" s="4"/>
    </row>
    <row r="298" spans="7:13" x14ac:dyDescent="0.25">
      <c r="G298" s="2"/>
      <c r="J298" s="3"/>
      <c r="M298" s="4"/>
    </row>
    <row r="299" spans="7:13" x14ac:dyDescent="0.25">
      <c r="G299" s="2"/>
      <c r="J299" s="3"/>
      <c r="M299" s="4"/>
    </row>
    <row r="300" spans="7:13" x14ac:dyDescent="0.25">
      <c r="G300" s="2"/>
      <c r="J300" s="3"/>
      <c r="M300" s="4"/>
    </row>
    <row r="301" spans="7:13" x14ac:dyDescent="0.25">
      <c r="G301" s="2"/>
      <c r="J301" s="3"/>
      <c r="M301" s="4"/>
    </row>
    <row r="302" spans="7:13" x14ac:dyDescent="0.25">
      <c r="G302" s="2"/>
      <c r="J302" s="3"/>
      <c r="M302" s="4"/>
    </row>
    <row r="303" spans="7:13" x14ac:dyDescent="0.25">
      <c r="G303" s="2"/>
      <c r="J303" s="3"/>
      <c r="M303" s="4"/>
    </row>
    <row r="304" spans="7:13" x14ac:dyDescent="0.25">
      <c r="G304" s="2"/>
      <c r="J304" s="3"/>
      <c r="M304" s="4"/>
    </row>
    <row r="305" spans="7:13" x14ac:dyDescent="0.25">
      <c r="G305" s="2"/>
      <c r="J305" s="3"/>
      <c r="M305" s="4"/>
    </row>
    <row r="306" spans="7:13" x14ac:dyDescent="0.25">
      <c r="G306" s="2"/>
      <c r="J306" s="3"/>
      <c r="M306" s="4"/>
    </row>
    <row r="307" spans="7:13" x14ac:dyDescent="0.25">
      <c r="G307" s="2"/>
      <c r="J307" s="3"/>
      <c r="M307" s="4"/>
    </row>
    <row r="308" spans="7:13" x14ac:dyDescent="0.25">
      <c r="G308" s="2"/>
      <c r="J308" s="3"/>
      <c r="M308" s="4"/>
    </row>
    <row r="309" spans="7:13" x14ac:dyDescent="0.25">
      <c r="G309" s="2"/>
      <c r="J309" s="3"/>
      <c r="M309" s="4"/>
    </row>
    <row r="310" spans="7:13" x14ac:dyDescent="0.25">
      <c r="G310" s="2"/>
      <c r="J310" s="3"/>
      <c r="M310" s="4"/>
    </row>
    <row r="311" spans="7:13" x14ac:dyDescent="0.25">
      <c r="G311" s="2"/>
      <c r="J311" s="3"/>
      <c r="M311" s="4"/>
    </row>
    <row r="312" spans="7:13" x14ac:dyDescent="0.25">
      <c r="G312" s="2"/>
      <c r="J312" s="3"/>
      <c r="M312" s="4"/>
    </row>
    <row r="313" spans="7:13" x14ac:dyDescent="0.25">
      <c r="G313" s="2"/>
      <c r="J313" s="3"/>
      <c r="M313" s="4"/>
    </row>
    <row r="314" spans="7:13" x14ac:dyDescent="0.25">
      <c r="G314" s="2"/>
      <c r="J314" s="3"/>
      <c r="M314" s="4"/>
    </row>
    <row r="315" spans="7:13" x14ac:dyDescent="0.25">
      <c r="G315" s="2"/>
      <c r="J315" s="3"/>
      <c r="M315" s="4"/>
    </row>
    <row r="316" spans="7:13" x14ac:dyDescent="0.25">
      <c r="G316" s="2"/>
      <c r="J316" s="3"/>
      <c r="M316" s="4"/>
    </row>
    <row r="317" spans="7:13" x14ac:dyDescent="0.25">
      <c r="G317" s="2"/>
      <c r="J317" s="3"/>
      <c r="M317" s="4"/>
    </row>
    <row r="318" spans="7:13" x14ac:dyDescent="0.25">
      <c r="G318" s="2"/>
      <c r="J318" s="3"/>
      <c r="M318" s="4"/>
    </row>
    <row r="319" spans="7:13" x14ac:dyDescent="0.25">
      <c r="G319" s="2"/>
      <c r="J319" s="3"/>
      <c r="M319" s="4"/>
    </row>
    <row r="320" spans="7:13" x14ac:dyDescent="0.25">
      <c r="G320" s="2"/>
      <c r="J320" s="3"/>
      <c r="M320" s="4"/>
    </row>
    <row r="321" spans="7:13" x14ac:dyDescent="0.25">
      <c r="G321" s="2"/>
      <c r="J321" s="3"/>
      <c r="M321" s="4"/>
    </row>
    <row r="322" spans="7:13" x14ac:dyDescent="0.25">
      <c r="G322" s="2"/>
      <c r="J322" s="3"/>
      <c r="M322" s="4"/>
    </row>
    <row r="323" spans="7:13" x14ac:dyDescent="0.25">
      <c r="G323" s="2"/>
      <c r="J323" s="3"/>
      <c r="M323" s="4"/>
    </row>
    <row r="324" spans="7:13" x14ac:dyDescent="0.25">
      <c r="G324" s="2"/>
      <c r="J324" s="3"/>
      <c r="M324" s="4"/>
    </row>
    <row r="325" spans="7:13" x14ac:dyDescent="0.25">
      <c r="G325" s="2"/>
      <c r="J325" s="3"/>
      <c r="M325" s="4"/>
    </row>
    <row r="326" spans="7:13" x14ac:dyDescent="0.25">
      <c r="G326" s="2"/>
      <c r="J326" s="3"/>
      <c r="M326" s="4"/>
    </row>
    <row r="327" spans="7:13" x14ac:dyDescent="0.25">
      <c r="G327" s="2"/>
      <c r="J327" s="3"/>
      <c r="M327" s="4"/>
    </row>
    <row r="328" spans="7:13" x14ac:dyDescent="0.25">
      <c r="G328" s="2"/>
      <c r="J328" s="3"/>
      <c r="M328" s="4"/>
    </row>
    <row r="329" spans="7:13" x14ac:dyDescent="0.25">
      <c r="G329" s="2"/>
      <c r="J329" s="3"/>
      <c r="M329" s="4"/>
    </row>
    <row r="330" spans="7:13" x14ac:dyDescent="0.25">
      <c r="G330" s="2"/>
      <c r="J330" s="3"/>
      <c r="M330" s="4"/>
    </row>
    <row r="331" spans="7:13" x14ac:dyDescent="0.25">
      <c r="G331" s="2"/>
      <c r="J331" s="3"/>
      <c r="M331" s="4"/>
    </row>
    <row r="332" spans="7:13" x14ac:dyDescent="0.25">
      <c r="G332" s="2"/>
      <c r="J332" s="3"/>
      <c r="M332" s="4"/>
    </row>
    <row r="333" spans="7:13" x14ac:dyDescent="0.25">
      <c r="G333" s="2"/>
      <c r="J333" s="3"/>
      <c r="M333" s="4"/>
    </row>
    <row r="334" spans="7:13" x14ac:dyDescent="0.25">
      <c r="G334" s="2"/>
      <c r="J334" s="3"/>
      <c r="M334" s="4"/>
    </row>
    <row r="335" spans="7:13" x14ac:dyDescent="0.25">
      <c r="G335" s="2"/>
      <c r="J335" s="3"/>
      <c r="M335" s="4"/>
    </row>
    <row r="336" spans="7:13" x14ac:dyDescent="0.25">
      <c r="G336" s="2"/>
      <c r="J336" s="3"/>
      <c r="M336" s="4"/>
    </row>
    <row r="337" spans="7:13" x14ac:dyDescent="0.25">
      <c r="G337" s="2"/>
      <c r="J337" s="3"/>
      <c r="M337" s="4"/>
    </row>
    <row r="338" spans="7:13" x14ac:dyDescent="0.25">
      <c r="G338" s="2"/>
      <c r="J338" s="3"/>
      <c r="M338" s="4"/>
    </row>
    <row r="339" spans="7:13" x14ac:dyDescent="0.25">
      <c r="G339" s="2"/>
      <c r="J339" s="3"/>
      <c r="M339" s="4"/>
    </row>
    <row r="340" spans="7:13" x14ac:dyDescent="0.25">
      <c r="G340" s="2"/>
      <c r="J340" s="3"/>
      <c r="M340" s="4"/>
    </row>
    <row r="341" spans="7:13" x14ac:dyDescent="0.25">
      <c r="G341" s="2"/>
      <c r="J341" s="3"/>
      <c r="M341" s="4"/>
    </row>
    <row r="342" spans="7:13" x14ac:dyDescent="0.25">
      <c r="G342" s="2"/>
      <c r="J342" s="3"/>
      <c r="M342" s="4"/>
    </row>
    <row r="343" spans="7:13" x14ac:dyDescent="0.25">
      <c r="G343" s="2"/>
      <c r="J343" s="3"/>
      <c r="M343" s="4"/>
    </row>
    <row r="344" spans="7:13" x14ac:dyDescent="0.25">
      <c r="G344" s="2"/>
      <c r="J344" s="3"/>
      <c r="M344" s="4"/>
    </row>
    <row r="345" spans="7:13" x14ac:dyDescent="0.25">
      <c r="G345" s="2"/>
      <c r="J345" s="3"/>
      <c r="M345" s="4"/>
    </row>
    <row r="346" spans="7:13" x14ac:dyDescent="0.25">
      <c r="G346" s="2"/>
      <c r="J346" s="3"/>
      <c r="M346" s="4"/>
    </row>
    <row r="347" spans="7:13" x14ac:dyDescent="0.25">
      <c r="G347" s="2"/>
      <c r="J347" s="3"/>
      <c r="M347" s="4"/>
    </row>
    <row r="348" spans="7:13" x14ac:dyDescent="0.25">
      <c r="G348" s="2"/>
      <c r="J348" s="3"/>
      <c r="M348" s="4"/>
    </row>
    <row r="349" spans="7:13" x14ac:dyDescent="0.25">
      <c r="G349" s="2"/>
      <c r="J349" s="3"/>
      <c r="M349" s="4"/>
    </row>
    <row r="350" spans="7:13" x14ac:dyDescent="0.25">
      <c r="G350" s="2"/>
      <c r="J350" s="3"/>
      <c r="M350" s="4"/>
    </row>
    <row r="351" spans="7:13" x14ac:dyDescent="0.25">
      <c r="G351" s="2"/>
      <c r="J351" s="3"/>
      <c r="M351" s="4"/>
    </row>
    <row r="352" spans="7:13" x14ac:dyDescent="0.25">
      <c r="G352" s="2"/>
      <c r="J352" s="3"/>
      <c r="M352" s="4"/>
    </row>
    <row r="353" spans="7:13" x14ac:dyDescent="0.25">
      <c r="G353" s="2"/>
      <c r="J353" s="3"/>
      <c r="M353" s="4"/>
    </row>
    <row r="354" spans="7:13" x14ac:dyDescent="0.25">
      <c r="G354" s="2"/>
      <c r="J354" s="3"/>
      <c r="M354" s="4"/>
    </row>
    <row r="355" spans="7:13" x14ac:dyDescent="0.25">
      <c r="G355" s="2"/>
      <c r="J355" s="3"/>
      <c r="M355" s="4"/>
    </row>
    <row r="356" spans="7:13" x14ac:dyDescent="0.25">
      <c r="G356" s="2"/>
      <c r="J356" s="3"/>
      <c r="M356" s="4"/>
    </row>
    <row r="357" spans="7:13" x14ac:dyDescent="0.25">
      <c r="G357" s="2"/>
      <c r="J357" s="3"/>
      <c r="M357" s="4"/>
    </row>
    <row r="358" spans="7:13" x14ac:dyDescent="0.25">
      <c r="G358" s="2"/>
      <c r="J358" s="3"/>
      <c r="M358" s="4"/>
    </row>
    <row r="359" spans="7:13" x14ac:dyDescent="0.25">
      <c r="G359" s="2"/>
      <c r="J359" s="3"/>
      <c r="M359" s="4"/>
    </row>
    <row r="360" spans="7:13" x14ac:dyDescent="0.25">
      <c r="G360" s="2"/>
      <c r="J360" s="3"/>
      <c r="M360" s="4"/>
    </row>
    <row r="361" spans="7:13" x14ac:dyDescent="0.25">
      <c r="G361" s="2"/>
      <c r="J361" s="3"/>
      <c r="M361" s="4"/>
    </row>
    <row r="362" spans="7:13" x14ac:dyDescent="0.25">
      <c r="G362" s="2"/>
      <c r="J362" s="3"/>
      <c r="M362" s="4"/>
    </row>
    <row r="363" spans="7:13" x14ac:dyDescent="0.25">
      <c r="G363" s="2"/>
      <c r="J363" s="3"/>
      <c r="M363" s="4"/>
    </row>
    <row r="364" spans="7:13" x14ac:dyDescent="0.25">
      <c r="G364" s="2"/>
      <c r="J364" s="3"/>
      <c r="M364" s="4"/>
    </row>
    <row r="365" spans="7:13" x14ac:dyDescent="0.25">
      <c r="G365" s="2"/>
      <c r="J365" s="3"/>
      <c r="M365" s="4"/>
    </row>
    <row r="366" spans="7:13" x14ac:dyDescent="0.25">
      <c r="G366" s="2"/>
      <c r="J366" s="3"/>
      <c r="M366" s="4"/>
    </row>
    <row r="367" spans="7:13" x14ac:dyDescent="0.25">
      <c r="G367" s="2"/>
      <c r="J367" s="3"/>
      <c r="M367" s="4"/>
    </row>
    <row r="368" spans="7:13" x14ac:dyDescent="0.25">
      <c r="G368" s="2"/>
      <c r="J368" s="3"/>
      <c r="M368" s="4"/>
    </row>
    <row r="369" spans="7:13" x14ac:dyDescent="0.25">
      <c r="G369" s="2"/>
      <c r="J369" s="3"/>
      <c r="M369" s="4"/>
    </row>
    <row r="370" spans="7:13" x14ac:dyDescent="0.25">
      <c r="G370" s="2"/>
      <c r="J370" s="3"/>
      <c r="M370" s="4"/>
    </row>
    <row r="371" spans="7:13" x14ac:dyDescent="0.25">
      <c r="G371" s="2"/>
      <c r="J371" s="3"/>
      <c r="M371" s="4"/>
    </row>
    <row r="372" spans="7:13" x14ac:dyDescent="0.25">
      <c r="G372" s="2"/>
      <c r="J372" s="3"/>
      <c r="M372" s="4"/>
    </row>
    <row r="373" spans="7:13" x14ac:dyDescent="0.25">
      <c r="G373" s="2"/>
      <c r="J373" s="3"/>
      <c r="M373" s="4"/>
    </row>
    <row r="374" spans="7:13" x14ac:dyDescent="0.25">
      <c r="G374" s="2"/>
      <c r="J374" s="3"/>
      <c r="M374" s="4"/>
    </row>
    <row r="375" spans="7:13" x14ac:dyDescent="0.25">
      <c r="G375" s="2"/>
      <c r="J375" s="3"/>
      <c r="M375" s="4"/>
    </row>
    <row r="376" spans="7:13" x14ac:dyDescent="0.25">
      <c r="G376" s="2"/>
      <c r="J376" s="3"/>
      <c r="M376" s="4"/>
    </row>
    <row r="377" spans="7:13" x14ac:dyDescent="0.25">
      <c r="G377" s="2"/>
      <c r="J377" s="3"/>
      <c r="M377" s="4"/>
    </row>
    <row r="378" spans="7:13" x14ac:dyDescent="0.25">
      <c r="G378" s="2"/>
      <c r="J378" s="3"/>
      <c r="M378" s="4"/>
    </row>
    <row r="379" spans="7:13" x14ac:dyDescent="0.25">
      <c r="G379" s="2"/>
      <c r="J379" s="3"/>
      <c r="M379" s="4"/>
    </row>
    <row r="380" spans="7:13" x14ac:dyDescent="0.25">
      <c r="G380" s="2"/>
      <c r="J380" s="3"/>
      <c r="M380" s="4"/>
    </row>
    <row r="381" spans="7:13" x14ac:dyDescent="0.25">
      <c r="G381" s="2"/>
      <c r="J381" s="3"/>
      <c r="M381" s="4"/>
    </row>
    <row r="382" spans="7:13" x14ac:dyDescent="0.25">
      <c r="G382" s="2"/>
      <c r="J382" s="3"/>
      <c r="M382" s="4"/>
    </row>
    <row r="383" spans="7:13" x14ac:dyDescent="0.25">
      <c r="G383" s="2"/>
      <c r="J383" s="3"/>
      <c r="M383" s="4"/>
    </row>
    <row r="384" spans="7:13" x14ac:dyDescent="0.25">
      <c r="G384" s="2"/>
      <c r="J384" s="3"/>
      <c r="M384" s="4"/>
    </row>
    <row r="385" spans="7:13" x14ac:dyDescent="0.25">
      <c r="G385" s="2"/>
      <c r="J385" s="3"/>
      <c r="M385" s="4"/>
    </row>
    <row r="386" spans="7:13" x14ac:dyDescent="0.25">
      <c r="G386" s="2"/>
      <c r="J386" s="3"/>
      <c r="M386" s="4"/>
    </row>
    <row r="387" spans="7:13" x14ac:dyDescent="0.25">
      <c r="G387" s="2"/>
      <c r="J387" s="3"/>
      <c r="M387" s="4"/>
    </row>
    <row r="388" spans="7:13" x14ac:dyDescent="0.25">
      <c r="G388" s="2"/>
      <c r="J388" s="3"/>
      <c r="M388" s="4"/>
    </row>
    <row r="389" spans="7:13" x14ac:dyDescent="0.25">
      <c r="G389" s="2"/>
      <c r="J389" s="3"/>
      <c r="M389" s="4"/>
    </row>
    <row r="390" spans="7:13" x14ac:dyDescent="0.25">
      <c r="G390" s="2"/>
      <c r="J390" s="3"/>
      <c r="M390" s="4"/>
    </row>
    <row r="391" spans="7:13" x14ac:dyDescent="0.25">
      <c r="G391" s="2"/>
      <c r="J391" s="3"/>
      <c r="M391" s="4"/>
    </row>
    <row r="392" spans="7:13" x14ac:dyDescent="0.25">
      <c r="G392" s="2"/>
      <c r="J392" s="3"/>
      <c r="M392" s="4"/>
    </row>
    <row r="393" spans="7:13" x14ac:dyDescent="0.25">
      <c r="G393" s="2"/>
      <c r="J393" s="3"/>
      <c r="M393" s="4"/>
    </row>
    <row r="394" spans="7:13" x14ac:dyDescent="0.25">
      <c r="G394" s="2"/>
      <c r="J394" s="3"/>
      <c r="M394" s="4"/>
    </row>
    <row r="395" spans="7:13" x14ac:dyDescent="0.25">
      <c r="G395" s="2"/>
      <c r="J395" s="3"/>
      <c r="M395" s="4"/>
    </row>
    <row r="396" spans="7:13" x14ac:dyDescent="0.25">
      <c r="G396" s="2"/>
      <c r="J396" s="3"/>
      <c r="M396" s="4"/>
    </row>
    <row r="397" spans="7:13" x14ac:dyDescent="0.25">
      <c r="G397" s="2"/>
      <c r="J397" s="3"/>
      <c r="M397" s="4"/>
    </row>
    <row r="398" spans="7:13" x14ac:dyDescent="0.25">
      <c r="G398" s="2"/>
      <c r="J398" s="3"/>
      <c r="M398" s="4"/>
    </row>
    <row r="399" spans="7:13" x14ac:dyDescent="0.25">
      <c r="G399" s="2"/>
      <c r="J399" s="3"/>
      <c r="M399" s="4"/>
    </row>
    <row r="400" spans="7:13" x14ac:dyDescent="0.25">
      <c r="G400" s="2"/>
      <c r="J400" s="3"/>
      <c r="M400" s="4"/>
    </row>
    <row r="401" spans="7:13" x14ac:dyDescent="0.25">
      <c r="G401" s="2"/>
      <c r="J401" s="3"/>
      <c r="M401" s="4"/>
    </row>
    <row r="402" spans="7:13" x14ac:dyDescent="0.25">
      <c r="G402" s="2"/>
      <c r="J402" s="3"/>
      <c r="M402" s="4"/>
    </row>
    <row r="403" spans="7:13" x14ac:dyDescent="0.25">
      <c r="G403" s="2"/>
      <c r="J403" s="3"/>
      <c r="M403" s="4"/>
    </row>
    <row r="404" spans="7:13" x14ac:dyDescent="0.25">
      <c r="G404" s="2"/>
      <c r="J404" s="3"/>
      <c r="M404" s="4"/>
    </row>
    <row r="405" spans="7:13" x14ac:dyDescent="0.25">
      <c r="G405" s="2"/>
      <c r="J405" s="3"/>
      <c r="M405" s="4"/>
    </row>
    <row r="406" spans="7:13" x14ac:dyDescent="0.25">
      <c r="G406" s="2"/>
      <c r="J406" s="3"/>
      <c r="M406" s="4"/>
    </row>
    <row r="407" spans="7:13" x14ac:dyDescent="0.25">
      <c r="G407" s="2"/>
      <c r="J407" s="3"/>
      <c r="M407" s="4"/>
    </row>
    <row r="408" spans="7:13" x14ac:dyDescent="0.25">
      <c r="G408" s="2"/>
      <c r="J408" s="3"/>
      <c r="M408" s="4"/>
    </row>
    <row r="409" spans="7:13" x14ac:dyDescent="0.25">
      <c r="G409" s="2"/>
      <c r="J409" s="3"/>
      <c r="M409" s="4"/>
    </row>
    <row r="410" spans="7:13" x14ac:dyDescent="0.25">
      <c r="G410" s="2"/>
      <c r="J410" s="3"/>
      <c r="M410" s="4"/>
    </row>
    <row r="411" spans="7:13" x14ac:dyDescent="0.25">
      <c r="G411" s="2"/>
      <c r="J411" s="3"/>
      <c r="M411" s="4"/>
    </row>
    <row r="412" spans="7:13" x14ac:dyDescent="0.25">
      <c r="G412" s="2"/>
      <c r="J412" s="3"/>
      <c r="M412" s="4"/>
    </row>
    <row r="413" spans="7:13" x14ac:dyDescent="0.25">
      <c r="G413" s="2"/>
      <c r="J413" s="3"/>
      <c r="M413" s="4"/>
    </row>
    <row r="414" spans="7:13" x14ac:dyDescent="0.25">
      <c r="G414" s="2"/>
      <c r="J414" s="3"/>
      <c r="M414" s="4"/>
    </row>
    <row r="415" spans="7:13" x14ac:dyDescent="0.25">
      <c r="G415" s="2"/>
      <c r="J415" s="3"/>
      <c r="M415" s="4"/>
    </row>
    <row r="416" spans="7:13" x14ac:dyDescent="0.25">
      <c r="G416" s="2"/>
      <c r="J416" s="3"/>
      <c r="M416" s="4"/>
    </row>
    <row r="417" spans="7:13" x14ac:dyDescent="0.25">
      <c r="G417" s="2"/>
      <c r="J417" s="3"/>
      <c r="M417" s="4"/>
    </row>
    <row r="418" spans="7:13" x14ac:dyDescent="0.25">
      <c r="G418" s="2"/>
      <c r="J418" s="3"/>
      <c r="M418" s="4"/>
    </row>
    <row r="419" spans="7:13" x14ac:dyDescent="0.25">
      <c r="G419" s="2"/>
      <c r="J419" s="3"/>
      <c r="M419" s="4"/>
    </row>
    <row r="420" spans="7:13" x14ac:dyDescent="0.25">
      <c r="G420" s="2"/>
      <c r="J420" s="3"/>
      <c r="M420" s="4"/>
    </row>
    <row r="421" spans="7:13" x14ac:dyDescent="0.25">
      <c r="G421" s="2"/>
      <c r="J421" s="3"/>
      <c r="M421" s="4"/>
    </row>
    <row r="422" spans="7:13" x14ac:dyDescent="0.25">
      <c r="G422" s="2"/>
      <c r="J422" s="3"/>
      <c r="M422" s="4"/>
    </row>
    <row r="423" spans="7:13" x14ac:dyDescent="0.25">
      <c r="G423" s="2"/>
      <c r="J423" s="3"/>
      <c r="M423" s="4"/>
    </row>
    <row r="424" spans="7:13" x14ac:dyDescent="0.25">
      <c r="G424" s="2"/>
      <c r="J424" s="3"/>
      <c r="M424" s="4"/>
    </row>
    <row r="425" spans="7:13" x14ac:dyDescent="0.25">
      <c r="G425" s="2"/>
      <c r="J425" s="3"/>
      <c r="M425" s="4"/>
    </row>
    <row r="426" spans="7:13" x14ac:dyDescent="0.25">
      <c r="G426" s="2"/>
      <c r="J426" s="3"/>
      <c r="M426" s="4"/>
    </row>
    <row r="427" spans="7:13" x14ac:dyDescent="0.25">
      <c r="G427" s="2"/>
      <c r="J427" s="3"/>
      <c r="M427" s="4"/>
    </row>
    <row r="428" spans="7:13" x14ac:dyDescent="0.25">
      <c r="G428" s="2"/>
      <c r="J428" s="3"/>
      <c r="M428" s="4"/>
    </row>
    <row r="429" spans="7:13" x14ac:dyDescent="0.25">
      <c r="G429" s="2"/>
      <c r="J429" s="3"/>
      <c r="M429" s="4"/>
    </row>
    <row r="430" spans="7:13" x14ac:dyDescent="0.25">
      <c r="G430" s="2"/>
      <c r="J430" s="3"/>
      <c r="M430" s="4"/>
    </row>
    <row r="431" spans="7:13" x14ac:dyDescent="0.25">
      <c r="G431" s="2"/>
      <c r="J431" s="3"/>
      <c r="M431" s="4"/>
    </row>
    <row r="432" spans="7:13" x14ac:dyDescent="0.25">
      <c r="G432" s="2"/>
      <c r="J432" s="3"/>
      <c r="M432" s="4"/>
    </row>
    <row r="433" spans="7:13" x14ac:dyDescent="0.25">
      <c r="G433" s="2"/>
      <c r="J433" s="3"/>
      <c r="M433" s="4"/>
    </row>
    <row r="434" spans="7:13" x14ac:dyDescent="0.25">
      <c r="G434" s="2"/>
      <c r="J434" s="3"/>
      <c r="M434" s="4"/>
    </row>
    <row r="435" spans="7:13" x14ac:dyDescent="0.25">
      <c r="G435" s="2"/>
      <c r="J435" s="3"/>
      <c r="M435" s="4"/>
    </row>
    <row r="436" spans="7:13" x14ac:dyDescent="0.25">
      <c r="G436" s="2"/>
      <c r="J436" s="3"/>
      <c r="M436" s="4"/>
    </row>
    <row r="437" spans="7:13" x14ac:dyDescent="0.25">
      <c r="G437" s="2"/>
      <c r="J437" s="3"/>
      <c r="M437" s="4"/>
    </row>
    <row r="438" spans="7:13" x14ac:dyDescent="0.25">
      <c r="G438" s="2"/>
      <c r="J438" s="3"/>
      <c r="M438" s="4"/>
    </row>
    <row r="439" spans="7:13" x14ac:dyDescent="0.25">
      <c r="G439" s="2"/>
      <c r="J439" s="3"/>
      <c r="M439" s="4"/>
    </row>
    <row r="440" spans="7:13" x14ac:dyDescent="0.25">
      <c r="G440" s="2"/>
      <c r="J440" s="3"/>
      <c r="M440" s="4"/>
    </row>
    <row r="441" spans="7:13" x14ac:dyDescent="0.25">
      <c r="G441" s="2"/>
      <c r="J441" s="3"/>
      <c r="M441" s="4"/>
    </row>
    <row r="442" spans="7:13" x14ac:dyDescent="0.25">
      <c r="G442" s="2"/>
      <c r="J442" s="3"/>
      <c r="M442" s="4"/>
    </row>
    <row r="443" spans="7:13" x14ac:dyDescent="0.25">
      <c r="G443" s="2"/>
      <c r="J443" s="3"/>
      <c r="M443" s="4"/>
    </row>
    <row r="444" spans="7:13" x14ac:dyDescent="0.25">
      <c r="G444" s="2"/>
      <c r="J444" s="3"/>
      <c r="M444" s="4"/>
    </row>
    <row r="445" spans="7:13" x14ac:dyDescent="0.25">
      <c r="G445" s="2"/>
      <c r="J445" s="3"/>
      <c r="M445" s="4"/>
    </row>
    <row r="446" spans="7:13" x14ac:dyDescent="0.25">
      <c r="G446" s="2"/>
      <c r="J446" s="3"/>
      <c r="M446" s="4"/>
    </row>
    <row r="447" spans="7:13" x14ac:dyDescent="0.25">
      <c r="G447" s="2"/>
      <c r="J447" s="3"/>
      <c r="M447" s="4"/>
    </row>
    <row r="448" spans="7:13" x14ac:dyDescent="0.25">
      <c r="G448" s="2"/>
      <c r="J448" s="3"/>
      <c r="M448" s="4"/>
    </row>
    <row r="449" spans="7:13" x14ac:dyDescent="0.25">
      <c r="G449" s="2"/>
      <c r="J449" s="3"/>
      <c r="M449" s="4"/>
    </row>
    <row r="450" spans="7:13" x14ac:dyDescent="0.25">
      <c r="G450" s="2"/>
      <c r="J450" s="3"/>
      <c r="M450" s="4"/>
    </row>
    <row r="451" spans="7:13" x14ac:dyDescent="0.25">
      <c r="G451" s="2"/>
      <c r="J451" s="3"/>
      <c r="M451" s="4"/>
    </row>
    <row r="452" spans="7:13" x14ac:dyDescent="0.25">
      <c r="G452" s="2"/>
      <c r="J452" s="3"/>
      <c r="M452" s="4"/>
    </row>
    <row r="453" spans="7:13" x14ac:dyDescent="0.25">
      <c r="G453" s="2"/>
      <c r="J453" s="3"/>
      <c r="M453" s="4"/>
    </row>
    <row r="454" spans="7:13" x14ac:dyDescent="0.25">
      <c r="G454" s="2"/>
      <c r="J454" s="3"/>
      <c r="M454" s="4"/>
    </row>
    <row r="455" spans="7:13" x14ac:dyDescent="0.25">
      <c r="G455" s="2"/>
      <c r="J455" s="3"/>
      <c r="M455" s="4"/>
    </row>
    <row r="456" spans="7:13" x14ac:dyDescent="0.25">
      <c r="G456" s="2"/>
      <c r="J456" s="3"/>
      <c r="M456" s="4"/>
    </row>
    <row r="457" spans="7:13" x14ac:dyDescent="0.25">
      <c r="G457" s="2"/>
      <c r="J457" s="3"/>
      <c r="M457" s="4"/>
    </row>
    <row r="458" spans="7:13" x14ac:dyDescent="0.25">
      <c r="G458" s="2"/>
      <c r="J458" s="3"/>
      <c r="M458" s="4"/>
    </row>
    <row r="459" spans="7:13" x14ac:dyDescent="0.25">
      <c r="G459" s="2"/>
      <c r="J459" s="3"/>
      <c r="M459" s="4"/>
    </row>
    <row r="460" spans="7:13" x14ac:dyDescent="0.25">
      <c r="G460" s="2"/>
      <c r="J460" s="3"/>
      <c r="M460" s="4"/>
    </row>
    <row r="461" spans="7:13" x14ac:dyDescent="0.25">
      <c r="G461" s="2"/>
      <c r="J461" s="3"/>
      <c r="M461" s="4"/>
    </row>
    <row r="462" spans="7:13" x14ac:dyDescent="0.25">
      <c r="G462" s="2"/>
      <c r="J462" s="3"/>
      <c r="M462" s="4"/>
    </row>
    <row r="463" spans="7:13" x14ac:dyDescent="0.25">
      <c r="G463" s="2"/>
      <c r="J463" s="3"/>
      <c r="M463" s="4"/>
    </row>
    <row r="464" spans="7:13" x14ac:dyDescent="0.25">
      <c r="G464" s="2"/>
      <c r="J464" s="3"/>
      <c r="M464" s="4"/>
    </row>
    <row r="465" spans="7:13" x14ac:dyDescent="0.25">
      <c r="G465" s="2"/>
      <c r="J465" s="3"/>
      <c r="M465" s="4"/>
    </row>
    <row r="466" spans="7:13" x14ac:dyDescent="0.25">
      <c r="G466" s="2"/>
      <c r="J466" s="3"/>
      <c r="M466" s="4"/>
    </row>
    <row r="467" spans="7:13" x14ac:dyDescent="0.25">
      <c r="G467" s="2"/>
      <c r="J467" s="3"/>
      <c r="M467" s="4"/>
    </row>
    <row r="468" spans="7:13" x14ac:dyDescent="0.25">
      <c r="G468" s="2"/>
      <c r="J468" s="3"/>
      <c r="M468" s="4"/>
    </row>
    <row r="469" spans="7:13" x14ac:dyDescent="0.25">
      <c r="G469" s="2"/>
      <c r="J469" s="3"/>
      <c r="M469" s="4"/>
    </row>
    <row r="470" spans="7:13" x14ac:dyDescent="0.25">
      <c r="G470" s="2"/>
      <c r="J470" s="3"/>
      <c r="M470" s="4"/>
    </row>
    <row r="471" spans="7:13" x14ac:dyDescent="0.25">
      <c r="G471" s="2"/>
      <c r="J471" s="3"/>
      <c r="M471" s="4"/>
    </row>
    <row r="472" spans="7:13" x14ac:dyDescent="0.25">
      <c r="G472" s="2"/>
      <c r="J472" s="3"/>
      <c r="M472" s="4"/>
    </row>
    <row r="473" spans="7:13" x14ac:dyDescent="0.25">
      <c r="G473" s="2"/>
      <c r="J473" s="3"/>
      <c r="M473" s="4"/>
    </row>
    <row r="474" spans="7:13" x14ac:dyDescent="0.25">
      <c r="G474" s="2"/>
      <c r="J474" s="3"/>
      <c r="M474" s="4"/>
    </row>
    <row r="475" spans="7:13" x14ac:dyDescent="0.25">
      <c r="G475" s="2"/>
      <c r="J475" s="3"/>
      <c r="M475" s="4"/>
    </row>
    <row r="476" spans="7:13" x14ac:dyDescent="0.25">
      <c r="G476" s="2"/>
      <c r="J476" s="3"/>
      <c r="M476" s="4"/>
    </row>
    <row r="477" spans="7:13" x14ac:dyDescent="0.25">
      <c r="G477" s="2"/>
      <c r="J477" s="3"/>
      <c r="M477" s="4"/>
    </row>
    <row r="478" spans="7:13" x14ac:dyDescent="0.25">
      <c r="G478" s="2"/>
      <c r="J478" s="3"/>
      <c r="M478" s="4"/>
    </row>
    <row r="479" spans="7:13" x14ac:dyDescent="0.25">
      <c r="G479" s="2"/>
      <c r="J479" s="3"/>
      <c r="M479" s="4"/>
    </row>
    <row r="480" spans="7:13" x14ac:dyDescent="0.25">
      <c r="G480" s="2"/>
      <c r="J480" s="3"/>
      <c r="M480" s="4"/>
    </row>
    <row r="481" spans="7:13" x14ac:dyDescent="0.25">
      <c r="G481" s="2"/>
      <c r="J481" s="3"/>
      <c r="M481" s="4"/>
    </row>
    <row r="482" spans="7:13" x14ac:dyDescent="0.25">
      <c r="G482" s="2"/>
      <c r="J482" s="3"/>
      <c r="M482" s="4"/>
    </row>
    <row r="483" spans="7:13" x14ac:dyDescent="0.25">
      <c r="G483" s="2"/>
      <c r="J483" s="3"/>
      <c r="M483" s="4"/>
    </row>
    <row r="484" spans="7:13" x14ac:dyDescent="0.25">
      <c r="G484" s="2"/>
      <c r="J484" s="3"/>
      <c r="M484" s="4"/>
    </row>
    <row r="485" spans="7:13" x14ac:dyDescent="0.25">
      <c r="G485" s="2"/>
      <c r="J485" s="3"/>
      <c r="M485" s="4"/>
    </row>
    <row r="486" spans="7:13" x14ac:dyDescent="0.25">
      <c r="G486" s="2"/>
      <c r="J486" s="3"/>
      <c r="M486" s="4"/>
    </row>
    <row r="487" spans="7:13" x14ac:dyDescent="0.25">
      <c r="G487" s="2"/>
      <c r="J487" s="3"/>
      <c r="M487" s="4"/>
    </row>
    <row r="488" spans="7:13" x14ac:dyDescent="0.25">
      <c r="G488" s="2"/>
      <c r="J488" s="3"/>
      <c r="M488" s="4"/>
    </row>
    <row r="489" spans="7:13" x14ac:dyDescent="0.25">
      <c r="G489" s="2"/>
      <c r="J489" s="3"/>
      <c r="M489" s="4"/>
    </row>
    <row r="490" spans="7:13" x14ac:dyDescent="0.25">
      <c r="G490" s="2"/>
      <c r="J490" s="3"/>
      <c r="M490" s="4"/>
    </row>
    <row r="491" spans="7:13" x14ac:dyDescent="0.25">
      <c r="G491" s="2"/>
      <c r="J491" s="3"/>
      <c r="M491" s="4"/>
    </row>
    <row r="492" spans="7:13" x14ac:dyDescent="0.25">
      <c r="G492" s="2"/>
      <c r="J492" s="3"/>
      <c r="M492" s="4"/>
    </row>
    <row r="493" spans="7:13" x14ac:dyDescent="0.25">
      <c r="G493" s="2"/>
      <c r="J493" s="3"/>
      <c r="M493" s="4"/>
    </row>
    <row r="494" spans="7:13" x14ac:dyDescent="0.25">
      <c r="G494" s="2"/>
      <c r="J494" s="3"/>
      <c r="M494" s="4"/>
    </row>
    <row r="495" spans="7:13" x14ac:dyDescent="0.25">
      <c r="G495" s="2"/>
      <c r="J495" s="3"/>
      <c r="M495" s="4"/>
    </row>
    <row r="496" spans="7:13" x14ac:dyDescent="0.25">
      <c r="G496" s="2"/>
      <c r="J496" s="3"/>
      <c r="M496" s="4"/>
    </row>
    <row r="497" spans="7:13" x14ac:dyDescent="0.25">
      <c r="G497" s="2"/>
      <c r="J497" s="3"/>
      <c r="M497" s="4"/>
    </row>
    <row r="498" spans="7:13" x14ac:dyDescent="0.25">
      <c r="G498" s="2"/>
      <c r="J498" s="3"/>
      <c r="M498" s="4"/>
    </row>
    <row r="499" spans="7:13" x14ac:dyDescent="0.25">
      <c r="G499" s="2"/>
      <c r="J499" s="3"/>
      <c r="M499" s="4"/>
    </row>
    <row r="500" spans="7:13" x14ac:dyDescent="0.25">
      <c r="G500" s="2"/>
      <c r="J500" s="3"/>
      <c r="M500" s="4"/>
    </row>
    <row r="501" spans="7:13" x14ac:dyDescent="0.25">
      <c r="G501" s="2"/>
      <c r="J501" s="3"/>
      <c r="M501" s="4"/>
    </row>
    <row r="502" spans="7:13" x14ac:dyDescent="0.25">
      <c r="G502" s="2"/>
      <c r="J502" s="3"/>
      <c r="M502" s="4"/>
    </row>
    <row r="503" spans="7:13" x14ac:dyDescent="0.25">
      <c r="G503" s="2"/>
      <c r="J503" s="3"/>
      <c r="M503" s="4"/>
    </row>
    <row r="504" spans="7:13" x14ac:dyDescent="0.25">
      <c r="G504" s="2"/>
      <c r="J504" s="3"/>
      <c r="M504" s="4"/>
    </row>
    <row r="505" spans="7:13" x14ac:dyDescent="0.25">
      <c r="G505" s="2"/>
      <c r="J505" s="3"/>
      <c r="M505" s="4"/>
    </row>
    <row r="506" spans="7:13" x14ac:dyDescent="0.25">
      <c r="G506" s="2"/>
      <c r="J506" s="3"/>
      <c r="M506" s="4"/>
    </row>
    <row r="507" spans="7:13" x14ac:dyDescent="0.25">
      <c r="G507" s="2"/>
      <c r="J507" s="3"/>
      <c r="M507" s="4"/>
    </row>
    <row r="508" spans="7:13" x14ac:dyDescent="0.25">
      <c r="G508" s="2"/>
      <c r="J508" s="3"/>
      <c r="M508" s="4"/>
    </row>
    <row r="509" spans="7:13" x14ac:dyDescent="0.25">
      <c r="G509" s="2"/>
      <c r="J509" s="3"/>
      <c r="M509" s="4"/>
    </row>
    <row r="510" spans="7:13" x14ac:dyDescent="0.25">
      <c r="G510" s="2"/>
      <c r="J510" s="3"/>
      <c r="M510" s="4"/>
    </row>
    <row r="511" spans="7:13" x14ac:dyDescent="0.25">
      <c r="G511" s="2"/>
      <c r="J511" s="3"/>
      <c r="M511" s="4"/>
    </row>
    <row r="512" spans="7:13" x14ac:dyDescent="0.25">
      <c r="G512" s="2"/>
      <c r="J512" s="3"/>
      <c r="M512" s="4"/>
    </row>
    <row r="513" spans="7:13" x14ac:dyDescent="0.25">
      <c r="G513" s="2"/>
      <c r="J513" s="3"/>
      <c r="M513" s="4"/>
    </row>
    <row r="514" spans="7:13" x14ac:dyDescent="0.25">
      <c r="G514" s="2"/>
      <c r="J514" s="3"/>
      <c r="M514" s="4"/>
    </row>
    <row r="515" spans="7:13" x14ac:dyDescent="0.25">
      <c r="G515" s="2"/>
      <c r="J515" s="3"/>
      <c r="M515" s="4"/>
    </row>
    <row r="516" spans="7:13" x14ac:dyDescent="0.25">
      <c r="G516" s="2"/>
      <c r="J516" s="3"/>
      <c r="M516" s="4"/>
    </row>
    <row r="517" spans="7:13" x14ac:dyDescent="0.25">
      <c r="G517" s="2"/>
      <c r="J517" s="3"/>
      <c r="M517" s="4"/>
    </row>
    <row r="518" spans="7:13" x14ac:dyDescent="0.25">
      <c r="G518" s="2"/>
      <c r="J518" s="3"/>
      <c r="M518" s="4"/>
    </row>
    <row r="519" spans="7:13" x14ac:dyDescent="0.25">
      <c r="G519" s="2"/>
      <c r="J519" s="3"/>
      <c r="M519" s="4"/>
    </row>
    <row r="520" spans="7:13" x14ac:dyDescent="0.25">
      <c r="G520" s="2"/>
      <c r="J520" s="3"/>
      <c r="M520" s="4"/>
    </row>
    <row r="521" spans="7:13" x14ac:dyDescent="0.25">
      <c r="G521" s="2"/>
      <c r="J521" s="3"/>
      <c r="M521" s="4"/>
    </row>
    <row r="522" spans="7:13" x14ac:dyDescent="0.25">
      <c r="G522" s="2"/>
      <c r="J522" s="3"/>
      <c r="M522" s="4"/>
    </row>
    <row r="523" spans="7:13" x14ac:dyDescent="0.25">
      <c r="G523" s="2"/>
      <c r="J523" s="3"/>
      <c r="M523" s="4"/>
    </row>
    <row r="524" spans="7:13" x14ac:dyDescent="0.25">
      <c r="G524" s="2"/>
      <c r="J524" s="3"/>
      <c r="M524" s="4"/>
    </row>
    <row r="525" spans="7:13" x14ac:dyDescent="0.25">
      <c r="G525" s="2"/>
      <c r="J525" s="3"/>
      <c r="M525" s="4"/>
    </row>
    <row r="526" spans="7:13" x14ac:dyDescent="0.25">
      <c r="G526" s="2"/>
      <c r="J526" s="3"/>
      <c r="M526" s="4"/>
    </row>
    <row r="527" spans="7:13" x14ac:dyDescent="0.25">
      <c r="G527" s="2"/>
      <c r="J527" s="3"/>
      <c r="M527" s="4"/>
    </row>
    <row r="528" spans="7:13" x14ac:dyDescent="0.25">
      <c r="G528" s="2"/>
      <c r="J528" s="3"/>
      <c r="M528" s="4"/>
    </row>
    <row r="529" spans="7:13" x14ac:dyDescent="0.25">
      <c r="G529" s="2"/>
      <c r="J529" s="3"/>
      <c r="M529" s="4"/>
    </row>
    <row r="530" spans="7:13" x14ac:dyDescent="0.25">
      <c r="G530" s="2"/>
      <c r="J530" s="3"/>
      <c r="M530" s="4"/>
    </row>
    <row r="531" spans="7:13" x14ac:dyDescent="0.25">
      <c r="G531" s="2"/>
      <c r="J531" s="3"/>
      <c r="M531" s="4"/>
    </row>
    <row r="532" spans="7:13" x14ac:dyDescent="0.25">
      <c r="G532" s="2"/>
      <c r="J532" s="3"/>
      <c r="M532" s="4"/>
    </row>
    <row r="533" spans="7:13" x14ac:dyDescent="0.25">
      <c r="G533" s="2"/>
      <c r="J533" s="3"/>
      <c r="M533" s="4"/>
    </row>
    <row r="534" spans="7:13" x14ac:dyDescent="0.25">
      <c r="G534" s="2"/>
      <c r="J534" s="3"/>
      <c r="M534" s="4"/>
    </row>
    <row r="535" spans="7:13" x14ac:dyDescent="0.25">
      <c r="G535" s="2"/>
      <c r="J535" s="3"/>
      <c r="M535" s="4"/>
    </row>
    <row r="536" spans="7:13" x14ac:dyDescent="0.25">
      <c r="G536" s="2"/>
      <c r="J536" s="3"/>
      <c r="M536" s="4"/>
    </row>
    <row r="537" spans="7:13" x14ac:dyDescent="0.25">
      <c r="G537" s="2"/>
      <c r="J537" s="3"/>
      <c r="M537" s="4"/>
    </row>
    <row r="538" spans="7:13" x14ac:dyDescent="0.25">
      <c r="G538" s="2"/>
      <c r="J538" s="3"/>
      <c r="M538" s="4"/>
    </row>
    <row r="539" spans="7:13" x14ac:dyDescent="0.25">
      <c r="G539" s="2"/>
      <c r="J539" s="3"/>
      <c r="M539" s="4"/>
    </row>
    <row r="540" spans="7:13" x14ac:dyDescent="0.25">
      <c r="G540" s="2"/>
      <c r="J540" s="3"/>
      <c r="M540" s="4"/>
    </row>
    <row r="541" spans="7:13" x14ac:dyDescent="0.25">
      <c r="G541" s="2"/>
      <c r="J541" s="3"/>
      <c r="M541" s="4"/>
    </row>
    <row r="542" spans="7:13" x14ac:dyDescent="0.25">
      <c r="G542" s="2"/>
      <c r="J542" s="3"/>
      <c r="M542" s="4"/>
    </row>
    <row r="543" spans="7:13" x14ac:dyDescent="0.25">
      <c r="G543" s="2"/>
      <c r="J543" s="3"/>
      <c r="M543" s="4"/>
    </row>
    <row r="544" spans="7:13" x14ac:dyDescent="0.25">
      <c r="G544" s="2"/>
      <c r="J544" s="3"/>
      <c r="M544" s="4"/>
    </row>
    <row r="545" spans="7:13" x14ac:dyDescent="0.25">
      <c r="G545" s="2"/>
      <c r="J545" s="3"/>
      <c r="M545" s="4"/>
    </row>
    <row r="546" spans="7:13" x14ac:dyDescent="0.25">
      <c r="G546" s="2"/>
      <c r="J546" s="3"/>
      <c r="M546" s="4"/>
    </row>
    <row r="547" spans="7:13" x14ac:dyDescent="0.25">
      <c r="G547" s="2"/>
      <c r="J547" s="3"/>
      <c r="M547" s="4"/>
    </row>
    <row r="548" spans="7:13" x14ac:dyDescent="0.25">
      <c r="G548" s="2"/>
      <c r="J548" s="3"/>
      <c r="M548" s="4"/>
    </row>
    <row r="549" spans="7:13" x14ac:dyDescent="0.25">
      <c r="G549" s="2"/>
      <c r="J549" s="3"/>
      <c r="M549" s="4"/>
    </row>
    <row r="550" spans="7:13" x14ac:dyDescent="0.25">
      <c r="G550" s="2"/>
      <c r="J550" s="3"/>
      <c r="M550" s="4"/>
    </row>
    <row r="551" spans="7:13" x14ac:dyDescent="0.25">
      <c r="G551" s="2"/>
      <c r="J551" s="3"/>
      <c r="M551" s="4"/>
    </row>
    <row r="552" spans="7:13" x14ac:dyDescent="0.25">
      <c r="G552" s="2"/>
      <c r="J552" s="3"/>
      <c r="M552" s="4"/>
    </row>
    <row r="553" spans="7:13" x14ac:dyDescent="0.25">
      <c r="G553" s="2"/>
      <c r="J553" s="3"/>
      <c r="M553" s="4"/>
    </row>
    <row r="554" spans="7:13" x14ac:dyDescent="0.25">
      <c r="G554" s="2"/>
      <c r="J554" s="3"/>
      <c r="M554" s="4"/>
    </row>
    <row r="555" spans="7:13" x14ac:dyDescent="0.25">
      <c r="G555" s="2"/>
      <c r="J555" s="3"/>
      <c r="M555" s="4"/>
    </row>
    <row r="556" spans="7:13" x14ac:dyDescent="0.25">
      <c r="G556" s="2"/>
      <c r="J556" s="3"/>
      <c r="M556" s="4"/>
    </row>
    <row r="557" spans="7:13" x14ac:dyDescent="0.25">
      <c r="G557" s="2"/>
      <c r="J557" s="3"/>
      <c r="M557" s="4"/>
    </row>
    <row r="558" spans="7:13" x14ac:dyDescent="0.25">
      <c r="G558" s="2"/>
      <c r="J558" s="3"/>
      <c r="M558" s="4"/>
    </row>
    <row r="559" spans="7:13" x14ac:dyDescent="0.25">
      <c r="G559" s="2"/>
      <c r="J559" s="3"/>
      <c r="M559" s="4"/>
    </row>
    <row r="560" spans="7:13" x14ac:dyDescent="0.25">
      <c r="G560" s="2"/>
      <c r="J560" s="3"/>
      <c r="M560" s="4"/>
    </row>
    <row r="561" spans="7:13" x14ac:dyDescent="0.25">
      <c r="G561" s="2"/>
      <c r="J561" s="3"/>
      <c r="M561" s="4"/>
    </row>
    <row r="562" spans="7:13" x14ac:dyDescent="0.25">
      <c r="G562" s="2"/>
      <c r="J562" s="3"/>
      <c r="M562" s="4"/>
    </row>
    <row r="563" spans="7:13" x14ac:dyDescent="0.25">
      <c r="G563" s="2"/>
      <c r="J563" s="3"/>
      <c r="M563" s="4"/>
    </row>
    <row r="564" spans="7:13" x14ac:dyDescent="0.25">
      <c r="G564" s="2"/>
      <c r="J564" s="3"/>
      <c r="M564" s="4"/>
    </row>
    <row r="565" spans="7:13" x14ac:dyDescent="0.25">
      <c r="G565" s="2"/>
      <c r="J565" s="3"/>
      <c r="M565" s="4"/>
    </row>
    <row r="566" spans="7:13" x14ac:dyDescent="0.25">
      <c r="G566" s="2"/>
      <c r="J566" s="3"/>
      <c r="M566" s="4"/>
    </row>
    <row r="567" spans="7:13" x14ac:dyDescent="0.25">
      <c r="G567" s="2"/>
      <c r="J567" s="3"/>
      <c r="M567" s="4"/>
    </row>
    <row r="568" spans="7:13" x14ac:dyDescent="0.25">
      <c r="G568" s="2"/>
      <c r="J568" s="3"/>
      <c r="M568" s="4"/>
    </row>
    <row r="569" spans="7:13" x14ac:dyDescent="0.25">
      <c r="G569" s="2"/>
      <c r="J569" s="3"/>
      <c r="M569" s="4"/>
    </row>
    <row r="570" spans="7:13" x14ac:dyDescent="0.25">
      <c r="G570" s="2"/>
      <c r="J570" s="3"/>
      <c r="M570" s="4"/>
    </row>
    <row r="571" spans="7:13" x14ac:dyDescent="0.25">
      <c r="G571" s="2"/>
      <c r="J571" s="3"/>
      <c r="M571" s="4"/>
    </row>
    <row r="572" spans="7:13" x14ac:dyDescent="0.25">
      <c r="G572" s="2"/>
      <c r="J572" s="3"/>
      <c r="M572" s="4"/>
    </row>
    <row r="573" spans="7:13" x14ac:dyDescent="0.25">
      <c r="G573" s="2"/>
      <c r="J573" s="3"/>
      <c r="M573" s="4"/>
    </row>
    <row r="574" spans="7:13" x14ac:dyDescent="0.25">
      <c r="G574" s="2"/>
      <c r="J574" s="3"/>
      <c r="M574" s="4"/>
    </row>
    <row r="575" spans="7:13" x14ac:dyDescent="0.25">
      <c r="G575" s="2"/>
      <c r="J575" s="3"/>
      <c r="M575" s="4"/>
    </row>
    <row r="576" spans="7:13" x14ac:dyDescent="0.25">
      <c r="G576" s="2"/>
      <c r="J576" s="3"/>
      <c r="M576" s="4"/>
    </row>
    <row r="577" spans="7:13" x14ac:dyDescent="0.25">
      <c r="G577" s="2"/>
      <c r="J577" s="3"/>
      <c r="M577" s="4"/>
    </row>
    <row r="578" spans="7:13" x14ac:dyDescent="0.25">
      <c r="G578" s="2"/>
      <c r="J578" s="3"/>
      <c r="M578" s="4"/>
    </row>
    <row r="579" spans="7:13" x14ac:dyDescent="0.25">
      <c r="G579" s="2"/>
      <c r="J579" s="3"/>
      <c r="M579" s="4"/>
    </row>
    <row r="580" spans="7:13" x14ac:dyDescent="0.25">
      <c r="G580" s="2"/>
      <c r="J580" s="3"/>
      <c r="M580" s="4"/>
    </row>
    <row r="581" spans="7:13" x14ac:dyDescent="0.25">
      <c r="G581" s="2"/>
      <c r="J581" s="3"/>
      <c r="M581" s="4"/>
    </row>
    <row r="582" spans="7:13" x14ac:dyDescent="0.25">
      <c r="G582" s="2"/>
      <c r="J582" s="3"/>
      <c r="M582" s="4"/>
    </row>
    <row r="583" spans="7:13" x14ac:dyDescent="0.25">
      <c r="G583" s="2"/>
      <c r="J583" s="3"/>
      <c r="M583" s="4"/>
    </row>
    <row r="584" spans="7:13" x14ac:dyDescent="0.25">
      <c r="G584" s="2"/>
      <c r="J584" s="3"/>
      <c r="M584" s="4"/>
    </row>
    <row r="585" spans="7:13" x14ac:dyDescent="0.25">
      <c r="G585" s="2"/>
      <c r="J585" s="3"/>
      <c r="M585" s="4"/>
    </row>
    <row r="586" spans="7:13" x14ac:dyDescent="0.25">
      <c r="G586" s="2"/>
      <c r="J586" s="3"/>
      <c r="M586" s="4"/>
    </row>
    <row r="587" spans="7:13" x14ac:dyDescent="0.25">
      <c r="G587" s="2"/>
      <c r="J587" s="3"/>
      <c r="M587" s="4"/>
    </row>
    <row r="588" spans="7:13" x14ac:dyDescent="0.25">
      <c r="G588" s="2"/>
      <c r="J588" s="3"/>
      <c r="M588" s="4"/>
    </row>
    <row r="589" spans="7:13" x14ac:dyDescent="0.25">
      <c r="G589" s="2"/>
      <c r="J589" s="3"/>
      <c r="M589" s="4"/>
    </row>
    <row r="590" spans="7:13" x14ac:dyDescent="0.25">
      <c r="G590" s="2"/>
      <c r="J590" s="3"/>
      <c r="M590" s="4"/>
    </row>
    <row r="591" spans="7:13" x14ac:dyDescent="0.25">
      <c r="G591" s="2"/>
      <c r="J591" s="3"/>
      <c r="M591" s="4"/>
    </row>
    <row r="592" spans="7:13" x14ac:dyDescent="0.25">
      <c r="G592" s="2"/>
      <c r="J592" s="3"/>
      <c r="M592" s="4"/>
    </row>
    <row r="593" spans="7:13" x14ac:dyDescent="0.25">
      <c r="G593" s="2"/>
      <c r="J593" s="3"/>
      <c r="M593" s="4"/>
    </row>
    <row r="594" spans="7:13" x14ac:dyDescent="0.25">
      <c r="G594" s="2"/>
      <c r="J594" s="3"/>
      <c r="M594" s="4"/>
    </row>
    <row r="595" spans="7:13" x14ac:dyDescent="0.25">
      <c r="G595" s="2"/>
      <c r="J595" s="3"/>
      <c r="M595" s="4"/>
    </row>
    <row r="596" spans="7:13" x14ac:dyDescent="0.25">
      <c r="G596" s="2"/>
      <c r="J596" s="3"/>
      <c r="M596" s="4"/>
    </row>
    <row r="597" spans="7:13" x14ac:dyDescent="0.25">
      <c r="G597" s="2"/>
      <c r="J597" s="3"/>
      <c r="M597" s="4"/>
    </row>
    <row r="598" spans="7:13" x14ac:dyDescent="0.25">
      <c r="G598" s="2"/>
      <c r="J598" s="3"/>
      <c r="M598" s="4"/>
    </row>
    <row r="599" spans="7:13" x14ac:dyDescent="0.25">
      <c r="G599" s="2"/>
      <c r="J599" s="3"/>
      <c r="M599" s="4"/>
    </row>
    <row r="600" spans="7:13" x14ac:dyDescent="0.25">
      <c r="G600" s="2"/>
      <c r="J600" s="3"/>
      <c r="M600" s="4"/>
    </row>
    <row r="601" spans="7:13" x14ac:dyDescent="0.25">
      <c r="G601" s="2"/>
      <c r="J601" s="3"/>
      <c r="M601" s="4"/>
    </row>
    <row r="602" spans="7:13" x14ac:dyDescent="0.25">
      <c r="G602" s="2"/>
      <c r="J602" s="3"/>
      <c r="M602" s="4"/>
    </row>
    <row r="603" spans="7:13" x14ac:dyDescent="0.25">
      <c r="G603" s="2"/>
      <c r="J603" s="3"/>
      <c r="M603" s="4"/>
    </row>
    <row r="604" spans="7:13" x14ac:dyDescent="0.25">
      <c r="G604" s="2"/>
      <c r="J604" s="3"/>
      <c r="M604" s="4"/>
    </row>
    <row r="605" spans="7:13" x14ac:dyDescent="0.25">
      <c r="G605" s="2"/>
      <c r="J605" s="3"/>
      <c r="M605" s="4"/>
    </row>
    <row r="606" spans="7:13" x14ac:dyDescent="0.25">
      <c r="G606" s="2"/>
      <c r="J606" s="3"/>
      <c r="M606" s="4"/>
    </row>
    <row r="607" spans="7:13" x14ac:dyDescent="0.25">
      <c r="G607" s="2"/>
      <c r="J607" s="3"/>
      <c r="M607" s="4"/>
    </row>
    <row r="608" spans="7:13" x14ac:dyDescent="0.25">
      <c r="G608" s="2"/>
      <c r="J608" s="3"/>
      <c r="M608" s="4"/>
    </row>
    <row r="609" spans="7:13" x14ac:dyDescent="0.25">
      <c r="G609" s="2"/>
      <c r="J609" s="3"/>
      <c r="M609" s="4"/>
    </row>
    <row r="610" spans="7:13" x14ac:dyDescent="0.25">
      <c r="G610" s="2"/>
      <c r="J610" s="3"/>
      <c r="M610" s="4"/>
    </row>
    <row r="611" spans="7:13" x14ac:dyDescent="0.25">
      <c r="G611" s="2"/>
      <c r="J611" s="3"/>
      <c r="M611" s="4"/>
    </row>
    <row r="612" spans="7:13" x14ac:dyDescent="0.25">
      <c r="G612" s="2"/>
      <c r="J612" s="3"/>
      <c r="M612" s="4"/>
    </row>
    <row r="613" spans="7:13" x14ac:dyDescent="0.25">
      <c r="G613" s="2"/>
      <c r="J613" s="3"/>
      <c r="M613" s="4"/>
    </row>
    <row r="614" spans="7:13" x14ac:dyDescent="0.25">
      <c r="G614" s="2"/>
      <c r="J614" s="3"/>
      <c r="M614" s="4"/>
    </row>
    <row r="615" spans="7:13" x14ac:dyDescent="0.25">
      <c r="G615" s="2"/>
      <c r="J615" s="3"/>
      <c r="M615" s="4"/>
    </row>
    <row r="616" spans="7:13" x14ac:dyDescent="0.25">
      <c r="G616" s="2"/>
      <c r="J616" s="3"/>
      <c r="M616" s="4"/>
    </row>
    <row r="617" spans="7:13" x14ac:dyDescent="0.25">
      <c r="G617" s="2"/>
      <c r="J617" s="3"/>
      <c r="M617" s="4"/>
    </row>
    <row r="618" spans="7:13" x14ac:dyDescent="0.25">
      <c r="G618" s="2"/>
      <c r="J618" s="3"/>
      <c r="M618" s="4"/>
    </row>
    <row r="619" spans="7:13" x14ac:dyDescent="0.25">
      <c r="G619" s="2"/>
      <c r="J619" s="3"/>
      <c r="M619" s="4"/>
    </row>
    <row r="620" spans="7:13" x14ac:dyDescent="0.25">
      <c r="G620" s="2"/>
      <c r="J620" s="3"/>
      <c r="M620" s="4"/>
    </row>
    <row r="621" spans="7:13" x14ac:dyDescent="0.25">
      <c r="G621" s="2"/>
      <c r="J621" s="3"/>
      <c r="M621" s="4"/>
    </row>
    <row r="622" spans="7:13" x14ac:dyDescent="0.25">
      <c r="G622" s="2"/>
      <c r="J622" s="3"/>
      <c r="M622" s="4"/>
    </row>
    <row r="623" spans="7:13" x14ac:dyDescent="0.25">
      <c r="G623" s="2"/>
      <c r="J623" s="3"/>
      <c r="M623" s="4"/>
    </row>
    <row r="624" spans="7:13" x14ac:dyDescent="0.25">
      <c r="G624" s="2"/>
      <c r="J624" s="3"/>
      <c r="M624" s="4"/>
    </row>
    <row r="625" spans="7:13" x14ac:dyDescent="0.25">
      <c r="G625" s="2"/>
      <c r="J625" s="3"/>
      <c r="M625" s="4"/>
    </row>
    <row r="626" spans="7:13" x14ac:dyDescent="0.25">
      <c r="G626" s="2"/>
      <c r="J626" s="3"/>
      <c r="M626" s="4"/>
    </row>
    <row r="627" spans="7:13" x14ac:dyDescent="0.25">
      <c r="G627" s="2"/>
      <c r="J627" s="3"/>
      <c r="M627" s="4"/>
    </row>
    <row r="628" spans="7:13" x14ac:dyDescent="0.25">
      <c r="G628" s="2"/>
      <c r="J628" s="3"/>
      <c r="M628" s="4"/>
    </row>
    <row r="629" spans="7:13" x14ac:dyDescent="0.25">
      <c r="G629" s="2"/>
      <c r="J629" s="3"/>
      <c r="M629" s="4"/>
    </row>
    <row r="630" spans="7:13" x14ac:dyDescent="0.25">
      <c r="G630" s="2"/>
      <c r="J630" s="3"/>
      <c r="M630" s="4"/>
    </row>
    <row r="631" spans="7:13" x14ac:dyDescent="0.25">
      <c r="G631" s="2"/>
      <c r="J631" s="3"/>
      <c r="M631" s="4"/>
    </row>
    <row r="632" spans="7:13" x14ac:dyDescent="0.25">
      <c r="G632" s="2"/>
      <c r="J632" s="3"/>
      <c r="M632" s="4"/>
    </row>
    <row r="633" spans="7:13" x14ac:dyDescent="0.25">
      <c r="G633" s="2"/>
      <c r="J633" s="3"/>
      <c r="M633" s="4"/>
    </row>
    <row r="634" spans="7:13" x14ac:dyDescent="0.25">
      <c r="G634" s="2"/>
      <c r="J634" s="3"/>
      <c r="M634" s="4"/>
    </row>
    <row r="635" spans="7:13" x14ac:dyDescent="0.25">
      <c r="G635" s="2"/>
      <c r="J635" s="3"/>
      <c r="M635" s="4"/>
    </row>
    <row r="636" spans="7:13" x14ac:dyDescent="0.25">
      <c r="G636" s="2"/>
      <c r="J636" s="3"/>
      <c r="M636" s="4"/>
    </row>
    <row r="637" spans="7:13" x14ac:dyDescent="0.25">
      <c r="G637" s="2"/>
      <c r="J637" s="3"/>
      <c r="M637" s="4"/>
    </row>
    <row r="638" spans="7:13" x14ac:dyDescent="0.25">
      <c r="G638" s="2"/>
      <c r="J638" s="3"/>
      <c r="M638" s="4"/>
    </row>
    <row r="639" spans="7:13" x14ac:dyDescent="0.25">
      <c r="G639" s="2"/>
      <c r="J639" s="3"/>
      <c r="M639" s="4"/>
    </row>
    <row r="640" spans="7:13" x14ac:dyDescent="0.25">
      <c r="G640" s="2"/>
      <c r="J640" s="3"/>
      <c r="M640" s="4"/>
    </row>
    <row r="641" spans="7:13" x14ac:dyDescent="0.25">
      <c r="G641" s="2"/>
      <c r="J641" s="3"/>
      <c r="M641" s="4"/>
    </row>
    <row r="642" spans="7:13" x14ac:dyDescent="0.25">
      <c r="G642" s="2"/>
      <c r="J642" s="3"/>
      <c r="M642" s="4"/>
    </row>
    <row r="643" spans="7:13" x14ac:dyDescent="0.25">
      <c r="G643" s="2"/>
      <c r="J643" s="3"/>
      <c r="M643" s="4"/>
    </row>
    <row r="644" spans="7:13" x14ac:dyDescent="0.25">
      <c r="G644" s="2"/>
      <c r="J644" s="3"/>
      <c r="M644" s="4"/>
    </row>
    <row r="645" spans="7:13" x14ac:dyDescent="0.25">
      <c r="G645" s="2"/>
      <c r="J645" s="3"/>
      <c r="M645" s="4"/>
    </row>
    <row r="646" spans="7:13" x14ac:dyDescent="0.25">
      <c r="G646" s="2"/>
      <c r="J646" s="3"/>
      <c r="M646" s="4"/>
    </row>
    <row r="647" spans="7:13" x14ac:dyDescent="0.25">
      <c r="G647" s="2"/>
      <c r="J647" s="3"/>
      <c r="M647" s="4"/>
    </row>
    <row r="648" spans="7:13" x14ac:dyDescent="0.25">
      <c r="G648" s="2"/>
      <c r="J648" s="3"/>
      <c r="M648" s="4"/>
    </row>
    <row r="649" spans="7:13" x14ac:dyDescent="0.25">
      <c r="G649" s="2"/>
      <c r="J649" s="3"/>
      <c r="M649" s="4"/>
    </row>
    <row r="650" spans="7:13" x14ac:dyDescent="0.25">
      <c r="G650" s="2"/>
      <c r="J650" s="3"/>
      <c r="M650" s="4"/>
    </row>
    <row r="651" spans="7:13" x14ac:dyDescent="0.25">
      <c r="G651" s="2"/>
      <c r="J651" s="3"/>
      <c r="M651" s="4"/>
    </row>
    <row r="652" spans="7:13" x14ac:dyDescent="0.25">
      <c r="G652" s="2"/>
      <c r="J652" s="3"/>
      <c r="M652" s="4"/>
    </row>
    <row r="653" spans="7:13" x14ac:dyDescent="0.25">
      <c r="G653" s="2"/>
      <c r="J653" s="3"/>
      <c r="M653" s="4"/>
    </row>
    <row r="654" spans="7:13" x14ac:dyDescent="0.25">
      <c r="G654" s="2"/>
      <c r="J654" s="3"/>
      <c r="M654" s="4"/>
    </row>
    <row r="655" spans="7:13" x14ac:dyDescent="0.25">
      <c r="G655" s="2"/>
      <c r="J655" s="3"/>
      <c r="M655" s="4"/>
    </row>
    <row r="656" spans="7:13" x14ac:dyDescent="0.25">
      <c r="G656" s="2"/>
      <c r="J656" s="3"/>
      <c r="M656" s="4"/>
    </row>
    <row r="657" spans="7:13" x14ac:dyDescent="0.25">
      <c r="G657" s="2"/>
      <c r="J657" s="3"/>
      <c r="M657" s="4"/>
    </row>
    <row r="658" spans="7:13" x14ac:dyDescent="0.25">
      <c r="G658" s="2"/>
      <c r="J658" s="3"/>
      <c r="M658" s="4"/>
    </row>
    <row r="659" spans="7:13" x14ac:dyDescent="0.25">
      <c r="G659" s="2"/>
      <c r="J659" s="3"/>
      <c r="M659" s="4"/>
    </row>
    <row r="660" spans="7:13" x14ac:dyDescent="0.25">
      <c r="G660" s="2"/>
      <c r="J660" s="3"/>
      <c r="M660" s="4"/>
    </row>
    <row r="661" spans="7:13" x14ac:dyDescent="0.25">
      <c r="G661" s="2"/>
      <c r="J661" s="3"/>
      <c r="M661" s="4"/>
    </row>
    <row r="662" spans="7:13" x14ac:dyDescent="0.25">
      <c r="G662" s="2"/>
      <c r="J662" s="3"/>
      <c r="M662" s="4"/>
    </row>
    <row r="663" spans="7:13" x14ac:dyDescent="0.25">
      <c r="G663" s="2"/>
      <c r="J663" s="3"/>
      <c r="M663" s="4"/>
    </row>
    <row r="664" spans="7:13" x14ac:dyDescent="0.25">
      <c r="G664" s="2"/>
      <c r="J664" s="3"/>
      <c r="M664" s="4"/>
    </row>
    <row r="665" spans="7:13" x14ac:dyDescent="0.25">
      <c r="G665" s="2"/>
      <c r="J665" s="3"/>
      <c r="M665" s="4"/>
    </row>
    <row r="666" spans="7:13" x14ac:dyDescent="0.25">
      <c r="G666" s="2"/>
      <c r="J666" s="3"/>
      <c r="M666" s="4"/>
    </row>
    <row r="667" spans="7:13" x14ac:dyDescent="0.25">
      <c r="G667" s="2"/>
      <c r="J667" s="3"/>
      <c r="M667" s="4"/>
    </row>
    <row r="668" spans="7:13" x14ac:dyDescent="0.25">
      <c r="G668" s="2"/>
      <c r="J668" s="3"/>
      <c r="M668" s="4"/>
    </row>
    <row r="669" spans="7:13" x14ac:dyDescent="0.25">
      <c r="G669" s="2"/>
      <c r="J669" s="3"/>
      <c r="M669" s="4"/>
    </row>
    <row r="670" spans="7:13" x14ac:dyDescent="0.25">
      <c r="G670" s="2"/>
      <c r="J670" s="3"/>
      <c r="M670" s="4"/>
    </row>
    <row r="671" spans="7:13" x14ac:dyDescent="0.25">
      <c r="G671" s="2"/>
      <c r="J671" s="3"/>
      <c r="M671" s="4"/>
    </row>
    <row r="672" spans="7:13" x14ac:dyDescent="0.25">
      <c r="G672" s="2"/>
      <c r="J672" s="3"/>
      <c r="M672" s="4"/>
    </row>
    <row r="673" spans="7:13" x14ac:dyDescent="0.25">
      <c r="G673" s="2"/>
      <c r="J673" s="3"/>
      <c r="M673" s="4"/>
    </row>
    <row r="674" spans="7:13" x14ac:dyDescent="0.25">
      <c r="G674" s="2"/>
      <c r="J674" s="3"/>
      <c r="M674" s="4"/>
    </row>
    <row r="675" spans="7:13" x14ac:dyDescent="0.25">
      <c r="G675" s="2"/>
      <c r="J675" s="3"/>
      <c r="M675" s="4"/>
    </row>
    <row r="676" spans="7:13" x14ac:dyDescent="0.25">
      <c r="G676" s="2"/>
      <c r="J676" s="3"/>
      <c r="M676" s="4"/>
    </row>
    <row r="677" spans="7:13" x14ac:dyDescent="0.25">
      <c r="G677" s="2"/>
      <c r="J677" s="3"/>
      <c r="M677" s="4"/>
    </row>
    <row r="678" spans="7:13" x14ac:dyDescent="0.25">
      <c r="G678" s="2"/>
      <c r="J678" s="3"/>
      <c r="M678" s="4"/>
    </row>
    <row r="679" spans="7:13" x14ac:dyDescent="0.25">
      <c r="G679" s="2"/>
      <c r="J679" s="3"/>
      <c r="M679" s="4"/>
    </row>
    <row r="680" spans="7:13" x14ac:dyDescent="0.25">
      <c r="G680" s="2"/>
      <c r="J680" s="3"/>
      <c r="M680" s="4"/>
    </row>
    <row r="681" spans="7:13" x14ac:dyDescent="0.25">
      <c r="G681" s="2"/>
      <c r="J681" s="3"/>
      <c r="M681" s="4"/>
    </row>
  </sheetData>
  <hyperlinks>
    <hyperlink ref="B2" r:id="rId1" xr:uid="{7FF34167-01CA-45D1-B403-84333EB596D9}"/>
    <hyperlink ref="B90" r:id="rId2" xr:uid="{4B72ECE3-347F-4C07-A202-A87D9330DF6C}"/>
    <hyperlink ref="B91" r:id="rId3" xr:uid="{5A1122AC-A879-441F-8B21-12FC07BD9AE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EE5B6-FC83-4826-9798-D1B3B2FC92C5}">
  <sheetPr codeName="Sheet5"/>
  <dimension ref="A1:C3"/>
  <sheetViews>
    <sheetView workbookViewId="0"/>
  </sheetViews>
  <sheetFormatPr defaultRowHeight="12.5" x14ac:dyDescent="0.25"/>
  <cols>
    <col min="2" max="2" width="12.36328125" bestFit="1" customWidth="1"/>
    <col min="3" max="3" width="26.1796875" bestFit="1" customWidth="1"/>
  </cols>
  <sheetData>
    <row r="1" spans="1:3" x14ac:dyDescent="0.25">
      <c r="A1" t="s">
        <v>2888</v>
      </c>
      <c r="B1" t="s">
        <v>2889</v>
      </c>
      <c r="C1" t="s">
        <v>2890</v>
      </c>
    </row>
    <row r="2" spans="1:3" x14ac:dyDescent="0.25">
      <c r="A2">
        <v>390</v>
      </c>
      <c r="B2" t="s">
        <v>2891</v>
      </c>
      <c r="C2" t="s">
        <v>2893</v>
      </c>
    </row>
    <row r="3" spans="1:3" x14ac:dyDescent="0.25">
      <c r="A3">
        <v>396</v>
      </c>
      <c r="B3" t="s">
        <v>2892</v>
      </c>
      <c r="C3" t="s">
        <v>2894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FB473-EA48-4202-BF30-E9F3B2E66F19}">
  <sheetPr codeName="Sheet4"/>
  <dimension ref="A1:D156"/>
  <sheetViews>
    <sheetView topLeftCell="A155" workbookViewId="0">
      <selection activeCell="A156" sqref="A156"/>
    </sheetView>
  </sheetViews>
  <sheetFormatPr defaultRowHeight="12.5" x14ac:dyDescent="0.25"/>
  <cols>
    <col min="1" max="1" width="7.81640625" bestFit="1" customWidth="1"/>
    <col min="2" max="2" width="43" bestFit="1" customWidth="1"/>
    <col min="3" max="3" width="9.81640625" bestFit="1" customWidth="1"/>
    <col min="4" max="4" width="125.7265625" bestFit="1" customWidth="1"/>
  </cols>
  <sheetData>
    <row r="1" spans="1:4" x14ac:dyDescent="0.25">
      <c r="A1" t="s">
        <v>2650</v>
      </c>
      <c r="B1" t="s">
        <v>2651</v>
      </c>
      <c r="C1" t="s">
        <v>2652</v>
      </c>
      <c r="D1" t="s">
        <v>2653</v>
      </c>
    </row>
    <row r="2" spans="1:4" x14ac:dyDescent="0.25">
      <c r="A2">
        <v>1068570</v>
      </c>
      <c r="B2" t="s">
        <v>2654</v>
      </c>
      <c r="C2">
        <v>544322846</v>
      </c>
      <c r="D2" t="s">
        <v>2655</v>
      </c>
    </row>
    <row r="3" spans="1:4" x14ac:dyDescent="0.25">
      <c r="A3">
        <v>1006218</v>
      </c>
      <c r="B3" t="s">
        <v>2656</v>
      </c>
      <c r="C3">
        <v>57164014</v>
      </c>
      <c r="D3" s="9" t="s">
        <v>3141</v>
      </c>
    </row>
    <row r="4" spans="1:4" x14ac:dyDescent="0.25">
      <c r="A4">
        <v>1036533</v>
      </c>
      <c r="B4" t="s">
        <v>2657</v>
      </c>
      <c r="C4">
        <v>812617926</v>
      </c>
      <c r="D4" t="s">
        <v>2658</v>
      </c>
    </row>
    <row r="5" spans="1:4" x14ac:dyDescent="0.25">
      <c r="A5">
        <v>1052759</v>
      </c>
      <c r="B5" t="s">
        <v>2659</v>
      </c>
      <c r="C5">
        <v>38325551</v>
      </c>
      <c r="D5" t="s">
        <v>2660</v>
      </c>
    </row>
    <row r="6" spans="1:4" x14ac:dyDescent="0.25">
      <c r="A6">
        <v>1001336</v>
      </c>
      <c r="B6" t="s">
        <v>2661</v>
      </c>
      <c r="C6">
        <v>609623566</v>
      </c>
      <c r="D6" t="s">
        <v>2662</v>
      </c>
    </row>
    <row r="7" spans="1:4" x14ac:dyDescent="0.25">
      <c r="A7">
        <v>1069246</v>
      </c>
      <c r="B7" t="s">
        <v>2663</v>
      </c>
      <c r="C7">
        <v>687042234</v>
      </c>
      <c r="D7" t="s">
        <v>2662</v>
      </c>
    </row>
    <row r="8" spans="1:4" x14ac:dyDescent="0.25">
      <c r="A8">
        <v>1076280</v>
      </c>
      <c r="B8" t="s">
        <v>2664</v>
      </c>
      <c r="C8">
        <v>812751913</v>
      </c>
      <c r="D8" t="s">
        <v>2665</v>
      </c>
    </row>
    <row r="9" spans="1:4" x14ac:dyDescent="0.25">
      <c r="A9">
        <v>1088414</v>
      </c>
      <c r="B9" t="s">
        <v>2666</v>
      </c>
      <c r="C9">
        <v>544585260</v>
      </c>
      <c r="D9" s="8" t="s">
        <v>2667</v>
      </c>
    </row>
    <row r="10" spans="1:4" x14ac:dyDescent="0.25">
      <c r="A10">
        <v>1068810</v>
      </c>
      <c r="B10" t="s">
        <v>2668</v>
      </c>
      <c r="C10">
        <v>686951890</v>
      </c>
      <c r="D10" t="s">
        <v>2669</v>
      </c>
    </row>
    <row r="11" spans="1:4" x14ac:dyDescent="0.25">
      <c r="A11">
        <v>1058540</v>
      </c>
      <c r="B11" t="s">
        <v>2670</v>
      </c>
      <c r="C11">
        <v>116752523</v>
      </c>
      <c r="D11" t="s">
        <v>2671</v>
      </c>
    </row>
    <row r="12" spans="1:4" x14ac:dyDescent="0.25">
      <c r="A12">
        <v>1013869</v>
      </c>
      <c r="B12" t="s">
        <v>2672</v>
      </c>
      <c r="C12">
        <v>654607027</v>
      </c>
      <c r="D12" t="s">
        <v>2673</v>
      </c>
    </row>
    <row r="13" spans="1:4" x14ac:dyDescent="0.25">
      <c r="A13">
        <v>1009516</v>
      </c>
      <c r="B13" t="s">
        <v>2674</v>
      </c>
      <c r="C13">
        <v>69640118</v>
      </c>
      <c r="D13" t="s">
        <v>2675</v>
      </c>
    </row>
    <row r="14" spans="1:4" x14ac:dyDescent="0.25">
      <c r="A14">
        <v>1040026</v>
      </c>
      <c r="B14" t="s">
        <v>2676</v>
      </c>
      <c r="C14">
        <v>605644384</v>
      </c>
      <c r="D14" t="s">
        <v>2677</v>
      </c>
    </row>
    <row r="15" spans="1:4" x14ac:dyDescent="0.25">
      <c r="A15">
        <v>1005739</v>
      </c>
      <c r="B15" t="s">
        <v>2678</v>
      </c>
      <c r="C15">
        <v>812505428</v>
      </c>
      <c r="D15" s="8" t="s">
        <v>2679</v>
      </c>
    </row>
    <row r="16" spans="1:4" x14ac:dyDescent="0.25">
      <c r="A16">
        <v>1080533</v>
      </c>
      <c r="B16" t="s">
        <v>2680</v>
      </c>
      <c r="C16">
        <v>554468606</v>
      </c>
      <c r="D16" t="s">
        <v>2681</v>
      </c>
    </row>
    <row r="17" spans="1:4" x14ac:dyDescent="0.25">
      <c r="A17">
        <v>1022946</v>
      </c>
      <c r="B17" t="s">
        <v>2682</v>
      </c>
      <c r="C17">
        <v>529671224</v>
      </c>
      <c r="D17" t="s">
        <v>2683</v>
      </c>
    </row>
    <row r="18" spans="1:4" x14ac:dyDescent="0.25">
      <c r="A18">
        <v>1010443</v>
      </c>
      <c r="B18" t="s">
        <v>2684</v>
      </c>
      <c r="C18">
        <v>812552524</v>
      </c>
      <c r="D18" t="s">
        <v>2685</v>
      </c>
    </row>
    <row r="19" spans="1:4" x14ac:dyDescent="0.25">
      <c r="A19">
        <v>1090667</v>
      </c>
      <c r="B19" t="s">
        <v>2686</v>
      </c>
      <c r="C19">
        <v>68647265</v>
      </c>
      <c r="D19" t="s">
        <v>2687</v>
      </c>
    </row>
    <row r="20" spans="1:4" x14ac:dyDescent="0.25">
      <c r="A20">
        <v>1004125</v>
      </c>
      <c r="B20" t="s">
        <v>2688</v>
      </c>
      <c r="C20">
        <v>812240992</v>
      </c>
      <c r="D20" s="8" t="s">
        <v>2689</v>
      </c>
    </row>
    <row r="21" spans="1:4" x14ac:dyDescent="0.25">
      <c r="A21">
        <v>1043021</v>
      </c>
      <c r="B21" t="s">
        <v>2690</v>
      </c>
      <c r="C21">
        <v>312601921</v>
      </c>
      <c r="D21" t="s">
        <v>2691</v>
      </c>
    </row>
    <row r="22" spans="1:4" x14ac:dyDescent="0.25">
      <c r="A22">
        <v>1088543</v>
      </c>
      <c r="B22" t="s">
        <v>2682</v>
      </c>
      <c r="C22">
        <v>999107263</v>
      </c>
      <c r="D22" s="8" t="s">
        <v>2692</v>
      </c>
    </row>
    <row r="23" spans="1:4" x14ac:dyDescent="0.25">
      <c r="A23">
        <v>1038951</v>
      </c>
      <c r="B23" t="s">
        <v>2693</v>
      </c>
      <c r="C23">
        <v>544747785</v>
      </c>
      <c r="D23" t="s">
        <v>2694</v>
      </c>
    </row>
    <row r="24" spans="1:4" x14ac:dyDescent="0.25">
      <c r="A24">
        <v>1015389</v>
      </c>
      <c r="B24" t="s">
        <v>2695</v>
      </c>
      <c r="C24">
        <v>323462481</v>
      </c>
      <c r="D24" t="s">
        <v>2696</v>
      </c>
    </row>
    <row r="25" spans="1:4" x14ac:dyDescent="0.25">
      <c r="A25">
        <v>1089018</v>
      </c>
      <c r="B25" t="s">
        <v>2664</v>
      </c>
      <c r="C25">
        <v>951639370</v>
      </c>
      <c r="D25" t="s">
        <v>2697</v>
      </c>
    </row>
    <row r="26" spans="1:4" x14ac:dyDescent="0.25">
      <c r="A26">
        <v>1063567</v>
      </c>
      <c r="B26" t="s">
        <v>2698</v>
      </c>
      <c r="C26">
        <v>595364191</v>
      </c>
      <c r="D26" t="s">
        <v>2699</v>
      </c>
    </row>
    <row r="27" spans="1:4" x14ac:dyDescent="0.25">
      <c r="A27">
        <v>1054374</v>
      </c>
      <c r="B27" t="s">
        <v>2700</v>
      </c>
      <c r="C27">
        <v>962286089</v>
      </c>
      <c r="D27" t="s">
        <v>2701</v>
      </c>
    </row>
    <row r="28" spans="1:4" x14ac:dyDescent="0.25">
      <c r="A28">
        <v>1049687</v>
      </c>
      <c r="B28" t="s">
        <v>2702</v>
      </c>
      <c r="C28">
        <v>826934841</v>
      </c>
      <c r="D28" t="s">
        <v>2703</v>
      </c>
    </row>
    <row r="29" spans="1:4" x14ac:dyDescent="0.25">
      <c r="A29">
        <v>1089974</v>
      </c>
      <c r="B29" t="s">
        <v>2704</v>
      </c>
      <c r="C29">
        <v>999107445</v>
      </c>
      <c r="D29" t="s">
        <v>2705</v>
      </c>
    </row>
    <row r="30" spans="1:4" x14ac:dyDescent="0.25">
      <c r="A30">
        <v>1032362</v>
      </c>
      <c r="B30" t="s">
        <v>2706</v>
      </c>
      <c r="C30">
        <v>5148242</v>
      </c>
      <c r="D30" t="s">
        <v>2683</v>
      </c>
    </row>
    <row r="31" spans="1:4" x14ac:dyDescent="0.25">
      <c r="A31">
        <v>1072673</v>
      </c>
      <c r="B31" t="s">
        <v>2707</v>
      </c>
      <c r="C31">
        <v>85466782</v>
      </c>
      <c r="D31" t="s">
        <v>2708</v>
      </c>
    </row>
    <row r="32" spans="1:4" x14ac:dyDescent="0.25">
      <c r="A32">
        <v>1089763</v>
      </c>
      <c r="B32" t="s">
        <v>2709</v>
      </c>
      <c r="C32">
        <v>816368276</v>
      </c>
      <c r="D32" t="s">
        <v>2710</v>
      </c>
    </row>
    <row r="33" spans="1:4" x14ac:dyDescent="0.25">
      <c r="A33">
        <v>1066439</v>
      </c>
      <c r="B33" t="s">
        <v>2711</v>
      </c>
      <c r="C33">
        <v>576259295</v>
      </c>
      <c r="D33" t="s">
        <v>2712</v>
      </c>
    </row>
    <row r="34" spans="1:4" x14ac:dyDescent="0.25">
      <c r="A34">
        <v>1063326</v>
      </c>
      <c r="B34" t="s">
        <v>2713</v>
      </c>
      <c r="C34">
        <v>916202785</v>
      </c>
      <c r="D34" t="s">
        <v>2714</v>
      </c>
    </row>
    <row r="35" spans="1:4" x14ac:dyDescent="0.25">
      <c r="A35">
        <v>1024681</v>
      </c>
      <c r="B35" t="s">
        <v>2715</v>
      </c>
      <c r="C35">
        <v>156250974</v>
      </c>
      <c r="D35" t="s">
        <v>2716</v>
      </c>
    </row>
    <row r="36" spans="1:4" x14ac:dyDescent="0.25">
      <c r="A36">
        <v>1020089</v>
      </c>
      <c r="B36" t="s">
        <v>2717</v>
      </c>
      <c r="C36">
        <v>30483023</v>
      </c>
      <c r="D36" t="s">
        <v>2718</v>
      </c>
    </row>
    <row r="37" spans="1:4" x14ac:dyDescent="0.25">
      <c r="A37">
        <v>1070381</v>
      </c>
      <c r="B37" t="s">
        <v>2719</v>
      </c>
      <c r="C37">
        <v>80037706</v>
      </c>
      <c r="D37" s="9" t="s">
        <v>2720</v>
      </c>
    </row>
    <row r="38" spans="1:4" x14ac:dyDescent="0.25">
      <c r="A38">
        <v>1038030</v>
      </c>
      <c r="B38" t="s">
        <v>2719</v>
      </c>
      <c r="C38">
        <v>40750247</v>
      </c>
      <c r="D38" t="s">
        <v>2720</v>
      </c>
    </row>
    <row r="39" spans="1:4" x14ac:dyDescent="0.25">
      <c r="A39">
        <v>1034942</v>
      </c>
      <c r="B39" t="s">
        <v>2719</v>
      </c>
      <c r="C39">
        <v>157111555</v>
      </c>
      <c r="D39" t="s">
        <v>2720</v>
      </c>
    </row>
    <row r="40" spans="1:4" x14ac:dyDescent="0.25">
      <c r="A40">
        <v>1028667</v>
      </c>
      <c r="B40" t="s">
        <v>2721</v>
      </c>
      <c r="C40">
        <v>603244609</v>
      </c>
      <c r="D40" t="s">
        <v>2722</v>
      </c>
    </row>
    <row r="41" spans="1:4" x14ac:dyDescent="0.25">
      <c r="A41">
        <v>1014224</v>
      </c>
      <c r="B41" t="s">
        <v>2661</v>
      </c>
      <c r="C41">
        <v>111848417</v>
      </c>
      <c r="D41" t="s">
        <v>2662</v>
      </c>
    </row>
    <row r="42" spans="1:4" x14ac:dyDescent="0.25">
      <c r="A42">
        <v>1022519</v>
      </c>
      <c r="B42" t="s">
        <v>2656</v>
      </c>
      <c r="C42">
        <v>604974600</v>
      </c>
      <c r="D42" t="s">
        <v>2723</v>
      </c>
    </row>
    <row r="43" spans="1:4" x14ac:dyDescent="0.25">
      <c r="A43">
        <v>1064047</v>
      </c>
      <c r="B43" t="s">
        <v>2724</v>
      </c>
      <c r="C43">
        <v>999103957</v>
      </c>
      <c r="D43" s="9" t="s">
        <v>3189</v>
      </c>
    </row>
    <row r="44" spans="1:4" x14ac:dyDescent="0.25">
      <c r="A44">
        <v>1030176</v>
      </c>
      <c r="B44" t="s">
        <v>2725</v>
      </c>
      <c r="C44">
        <v>54819560</v>
      </c>
      <c r="D44" t="s">
        <v>2726</v>
      </c>
    </row>
    <row r="45" spans="1:4" x14ac:dyDescent="0.25">
      <c r="A45">
        <v>1089134</v>
      </c>
      <c r="B45" t="s">
        <v>2727</v>
      </c>
      <c r="C45">
        <v>270511685</v>
      </c>
      <c r="D45" t="s">
        <v>2728</v>
      </c>
    </row>
    <row r="46" spans="1:4" x14ac:dyDescent="0.25">
      <c r="A46">
        <v>1079153</v>
      </c>
      <c r="B46" t="s">
        <v>2729</v>
      </c>
      <c r="C46">
        <v>812819636</v>
      </c>
      <c r="D46" t="s">
        <v>2730</v>
      </c>
    </row>
    <row r="47" spans="1:4" x14ac:dyDescent="0.25">
      <c r="A47">
        <v>1009920</v>
      </c>
      <c r="B47" t="s">
        <v>2731</v>
      </c>
      <c r="C47">
        <v>894084516</v>
      </c>
      <c r="D47" t="s">
        <v>2732</v>
      </c>
    </row>
    <row r="48" spans="1:4" x14ac:dyDescent="0.25">
      <c r="A48">
        <v>1087439</v>
      </c>
      <c r="B48" t="s">
        <v>2733</v>
      </c>
      <c r="C48">
        <v>118451445</v>
      </c>
      <c r="D48" s="8" t="s">
        <v>2734</v>
      </c>
    </row>
    <row r="49" spans="1:4" x14ac:dyDescent="0.25">
      <c r="A49">
        <v>1059106</v>
      </c>
      <c r="B49" t="s">
        <v>2735</v>
      </c>
      <c r="C49">
        <v>588145909</v>
      </c>
      <c r="D49" t="s">
        <v>2736</v>
      </c>
    </row>
    <row r="50" spans="1:4" x14ac:dyDescent="0.25">
      <c r="A50">
        <v>1068427</v>
      </c>
      <c r="B50" t="s">
        <v>2737</v>
      </c>
      <c r="C50">
        <v>812786311</v>
      </c>
      <c r="D50" t="s">
        <v>2738</v>
      </c>
    </row>
    <row r="51" spans="1:4" x14ac:dyDescent="0.25">
      <c r="A51">
        <v>1058786</v>
      </c>
      <c r="B51" t="s">
        <v>2739</v>
      </c>
      <c r="C51">
        <v>689040236</v>
      </c>
      <c r="D51" t="s">
        <v>2740</v>
      </c>
    </row>
    <row r="52" spans="1:4" x14ac:dyDescent="0.25">
      <c r="A52">
        <v>1067014</v>
      </c>
      <c r="B52" t="s">
        <v>2741</v>
      </c>
      <c r="C52">
        <v>812760081</v>
      </c>
      <c r="D52" t="s">
        <v>2742</v>
      </c>
    </row>
    <row r="53" spans="1:4" x14ac:dyDescent="0.25">
      <c r="A53">
        <v>1031473</v>
      </c>
      <c r="B53" t="s">
        <v>2743</v>
      </c>
      <c r="C53">
        <v>22313717</v>
      </c>
      <c r="D53" t="s">
        <v>2744</v>
      </c>
    </row>
    <row r="54" spans="1:4" x14ac:dyDescent="0.25">
      <c r="A54">
        <v>1025958</v>
      </c>
      <c r="B54" t="s">
        <v>2745</v>
      </c>
      <c r="C54">
        <v>325931368</v>
      </c>
      <c r="D54" t="s">
        <v>2746</v>
      </c>
    </row>
    <row r="55" spans="1:4" x14ac:dyDescent="0.25">
      <c r="A55">
        <v>1083402</v>
      </c>
      <c r="B55" t="s">
        <v>2747</v>
      </c>
      <c r="C55">
        <v>999106768</v>
      </c>
      <c r="D55" t="s">
        <v>2748</v>
      </c>
    </row>
    <row r="56" spans="1:4" x14ac:dyDescent="0.25">
      <c r="A56">
        <v>1010923</v>
      </c>
      <c r="B56" t="s">
        <v>2749</v>
      </c>
      <c r="C56">
        <v>57421000</v>
      </c>
      <c r="D56" t="s">
        <v>2750</v>
      </c>
    </row>
    <row r="57" spans="1:4" x14ac:dyDescent="0.25">
      <c r="A57">
        <v>1070912</v>
      </c>
      <c r="B57" t="s">
        <v>2751</v>
      </c>
      <c r="C57">
        <v>23051028</v>
      </c>
      <c r="D57" t="s">
        <v>2752</v>
      </c>
    </row>
    <row r="58" spans="1:4" x14ac:dyDescent="0.25">
      <c r="A58">
        <v>1019503</v>
      </c>
      <c r="B58" t="s">
        <v>2753</v>
      </c>
      <c r="C58">
        <v>544986383</v>
      </c>
      <c r="D58" t="s">
        <v>2754</v>
      </c>
    </row>
    <row r="59" spans="1:4" x14ac:dyDescent="0.25">
      <c r="A59">
        <v>1082707</v>
      </c>
      <c r="B59" t="s">
        <v>2755</v>
      </c>
      <c r="C59">
        <v>951565021</v>
      </c>
      <c r="D59" t="s">
        <v>2756</v>
      </c>
    </row>
    <row r="60" spans="1:4" x14ac:dyDescent="0.25">
      <c r="A60">
        <v>1054596</v>
      </c>
      <c r="B60" t="s">
        <v>2757</v>
      </c>
      <c r="C60">
        <v>814605234</v>
      </c>
      <c r="D60" t="s">
        <v>2758</v>
      </c>
    </row>
    <row r="61" spans="1:4" x14ac:dyDescent="0.25">
      <c r="A61">
        <v>1068327</v>
      </c>
      <c r="B61" t="s">
        <v>2759</v>
      </c>
      <c r="C61">
        <v>999104266</v>
      </c>
      <c r="D61" t="s">
        <v>3199</v>
      </c>
    </row>
    <row r="62" spans="1:4" x14ac:dyDescent="0.25">
      <c r="A62">
        <v>1064050</v>
      </c>
      <c r="B62" t="s">
        <v>2724</v>
      </c>
      <c r="C62">
        <v>999103960</v>
      </c>
      <c r="D62" t="s">
        <v>2760</v>
      </c>
    </row>
    <row r="63" spans="1:4" x14ac:dyDescent="0.25">
      <c r="A63">
        <v>1001164</v>
      </c>
      <c r="B63" t="s">
        <v>2761</v>
      </c>
      <c r="C63">
        <v>17043084</v>
      </c>
      <c r="D63" t="s">
        <v>2762</v>
      </c>
    </row>
    <row r="64" spans="1:4" x14ac:dyDescent="0.25">
      <c r="A64">
        <v>1008950</v>
      </c>
      <c r="B64" t="s">
        <v>2763</v>
      </c>
      <c r="C64">
        <v>945342988</v>
      </c>
      <c r="D64" s="9" t="s">
        <v>3180</v>
      </c>
    </row>
    <row r="65" spans="1:4" x14ac:dyDescent="0.25">
      <c r="A65">
        <v>1062984</v>
      </c>
      <c r="B65" t="s">
        <v>2764</v>
      </c>
      <c r="C65">
        <v>360712413</v>
      </c>
      <c r="D65" t="s">
        <v>2765</v>
      </c>
    </row>
    <row r="66" spans="1:4" x14ac:dyDescent="0.25">
      <c r="A66">
        <v>1011349</v>
      </c>
      <c r="B66" t="s">
        <v>2766</v>
      </c>
      <c r="C66">
        <v>616396909</v>
      </c>
      <c r="D66" t="s">
        <v>2767</v>
      </c>
    </row>
    <row r="67" spans="1:4" x14ac:dyDescent="0.25">
      <c r="A67">
        <v>1001193</v>
      </c>
      <c r="B67" t="s">
        <v>2768</v>
      </c>
      <c r="C67">
        <v>17532458</v>
      </c>
      <c r="D67" t="s">
        <v>2769</v>
      </c>
    </row>
    <row r="68" spans="1:4" x14ac:dyDescent="0.25">
      <c r="A68">
        <v>1074097</v>
      </c>
      <c r="B68" t="s">
        <v>2770</v>
      </c>
      <c r="C68">
        <v>812826395</v>
      </c>
      <c r="D68" t="s">
        <v>2769</v>
      </c>
    </row>
    <row r="69" spans="1:4" x14ac:dyDescent="0.25">
      <c r="A69">
        <v>1014171</v>
      </c>
      <c r="B69" t="s">
        <v>2771</v>
      </c>
      <c r="C69">
        <v>943325738</v>
      </c>
      <c r="D69" t="s">
        <v>2772</v>
      </c>
    </row>
    <row r="70" spans="1:4" x14ac:dyDescent="0.25">
      <c r="A70">
        <v>1040751</v>
      </c>
      <c r="B70" t="s">
        <v>2773</v>
      </c>
      <c r="C70">
        <v>812973105</v>
      </c>
      <c r="D70" t="s">
        <v>2774</v>
      </c>
    </row>
    <row r="71" spans="1:4" x14ac:dyDescent="0.25">
      <c r="A71">
        <v>1008291</v>
      </c>
      <c r="B71" t="s">
        <v>2775</v>
      </c>
      <c r="C71">
        <v>805837887</v>
      </c>
      <c r="D71" t="s">
        <v>2776</v>
      </c>
    </row>
    <row r="72" spans="1:4" x14ac:dyDescent="0.25">
      <c r="A72">
        <v>1086022</v>
      </c>
      <c r="B72" t="s">
        <v>2777</v>
      </c>
      <c r="C72">
        <v>999107013</v>
      </c>
      <c r="D72" t="s">
        <v>2778</v>
      </c>
    </row>
    <row r="73" spans="1:4" x14ac:dyDescent="0.25">
      <c r="A73">
        <v>1061563</v>
      </c>
      <c r="B73" t="s">
        <v>2779</v>
      </c>
      <c r="C73">
        <v>816518211</v>
      </c>
      <c r="D73" t="s">
        <v>2780</v>
      </c>
    </row>
    <row r="74" spans="1:4" x14ac:dyDescent="0.25">
      <c r="A74">
        <v>1054044</v>
      </c>
      <c r="B74" t="s">
        <v>2781</v>
      </c>
      <c r="C74">
        <v>812953800</v>
      </c>
      <c r="D74" t="s">
        <v>2782</v>
      </c>
    </row>
    <row r="75" spans="1:4" x14ac:dyDescent="0.25">
      <c r="A75">
        <v>1004048</v>
      </c>
      <c r="B75" t="s">
        <v>2783</v>
      </c>
      <c r="C75">
        <v>5126065</v>
      </c>
      <c r="D75" t="s">
        <v>2784</v>
      </c>
    </row>
    <row r="76" spans="1:4" x14ac:dyDescent="0.25">
      <c r="A76">
        <v>1072197</v>
      </c>
      <c r="B76" t="s">
        <v>2785</v>
      </c>
      <c r="C76">
        <v>80203455</v>
      </c>
      <c r="D76" t="s">
        <v>2786</v>
      </c>
    </row>
    <row r="77" spans="1:4" x14ac:dyDescent="0.25">
      <c r="A77">
        <v>1071376</v>
      </c>
      <c r="B77" t="s">
        <v>2787</v>
      </c>
      <c r="C77">
        <v>79971408</v>
      </c>
      <c r="D77" t="s">
        <v>2788</v>
      </c>
    </row>
    <row r="78" spans="1:4" x14ac:dyDescent="0.25">
      <c r="A78">
        <v>1063022</v>
      </c>
      <c r="B78" t="s">
        <v>2789</v>
      </c>
      <c r="C78">
        <v>421306545</v>
      </c>
      <c r="D78" t="s">
        <v>2790</v>
      </c>
    </row>
    <row r="79" spans="1:4" x14ac:dyDescent="0.25">
      <c r="A79">
        <v>1069113</v>
      </c>
      <c r="B79" t="s">
        <v>2791</v>
      </c>
      <c r="C79">
        <v>666735647</v>
      </c>
      <c r="D79" t="s">
        <v>2792</v>
      </c>
    </row>
    <row r="80" spans="1:4" x14ac:dyDescent="0.25">
      <c r="A80">
        <v>1008364</v>
      </c>
      <c r="B80" t="s">
        <v>2793</v>
      </c>
      <c r="C80">
        <v>933322059</v>
      </c>
      <c r="D80" s="8" t="s">
        <v>3139</v>
      </c>
    </row>
    <row r="81" spans="1:4" x14ac:dyDescent="0.25">
      <c r="A81">
        <v>1005933</v>
      </c>
      <c r="B81" t="s">
        <v>2794</v>
      </c>
      <c r="C81">
        <v>362350464</v>
      </c>
      <c r="D81" t="s">
        <v>2795</v>
      </c>
    </row>
    <row r="82" spans="1:4" x14ac:dyDescent="0.25">
      <c r="A82">
        <v>1071650</v>
      </c>
      <c r="B82" t="s">
        <v>2796</v>
      </c>
      <c r="C82">
        <v>812809852</v>
      </c>
      <c r="D82" t="s">
        <v>2797</v>
      </c>
    </row>
    <row r="83" spans="1:4" x14ac:dyDescent="0.25">
      <c r="A83">
        <v>1077438</v>
      </c>
      <c r="B83" t="s">
        <v>2798</v>
      </c>
      <c r="C83">
        <v>12167443</v>
      </c>
      <c r="D83" t="s">
        <v>2799</v>
      </c>
    </row>
    <row r="84" spans="1:4" x14ac:dyDescent="0.25">
      <c r="A84">
        <v>1063123</v>
      </c>
      <c r="B84" t="s">
        <v>2800</v>
      </c>
      <c r="C84">
        <v>662334515</v>
      </c>
      <c r="D84" t="s">
        <v>2801</v>
      </c>
    </row>
    <row r="85" spans="1:4" x14ac:dyDescent="0.25">
      <c r="A85">
        <v>1067530</v>
      </c>
      <c r="B85" t="s">
        <v>2802</v>
      </c>
      <c r="C85">
        <v>812773843</v>
      </c>
      <c r="D85" t="s">
        <v>2803</v>
      </c>
    </row>
    <row r="86" spans="1:4" x14ac:dyDescent="0.25">
      <c r="A86">
        <v>1020845</v>
      </c>
      <c r="B86" t="s">
        <v>2661</v>
      </c>
      <c r="C86">
        <v>55307099</v>
      </c>
      <c r="D86" t="s">
        <v>2662</v>
      </c>
    </row>
    <row r="87" spans="1:4" x14ac:dyDescent="0.25">
      <c r="A87">
        <v>1080233</v>
      </c>
      <c r="B87" t="s">
        <v>2804</v>
      </c>
      <c r="C87">
        <v>812917535</v>
      </c>
      <c r="D87" s="11" t="s">
        <v>2805</v>
      </c>
    </row>
    <row r="88" spans="1:4" x14ac:dyDescent="0.25">
      <c r="A88">
        <v>1087942</v>
      </c>
      <c r="B88" t="s">
        <v>2806</v>
      </c>
      <c r="C88">
        <v>118224250</v>
      </c>
      <c r="D88" t="s">
        <v>2807</v>
      </c>
    </row>
    <row r="89" spans="1:4" x14ac:dyDescent="0.25">
      <c r="A89">
        <v>1015853</v>
      </c>
      <c r="B89" t="s">
        <v>2808</v>
      </c>
      <c r="C89">
        <v>884936618</v>
      </c>
      <c r="D89" t="s">
        <v>2809</v>
      </c>
    </row>
    <row r="90" spans="1:4" x14ac:dyDescent="0.25">
      <c r="A90">
        <v>1060967</v>
      </c>
      <c r="B90" t="s">
        <v>2810</v>
      </c>
      <c r="C90">
        <v>78451351</v>
      </c>
      <c r="D90" t="s">
        <v>2811</v>
      </c>
    </row>
    <row r="91" spans="1:4" x14ac:dyDescent="0.25">
      <c r="A91">
        <v>1025505</v>
      </c>
      <c r="B91" t="s">
        <v>2812</v>
      </c>
      <c r="C91">
        <v>60878043</v>
      </c>
      <c r="D91" t="s">
        <v>2813</v>
      </c>
    </row>
    <row r="92" spans="1:4" x14ac:dyDescent="0.25">
      <c r="A92">
        <v>1030566</v>
      </c>
      <c r="B92" t="s">
        <v>2814</v>
      </c>
      <c r="C92">
        <v>621472831</v>
      </c>
      <c r="D92" t="s">
        <v>2815</v>
      </c>
    </row>
    <row r="93" spans="1:4" x14ac:dyDescent="0.25">
      <c r="A93">
        <v>1071430</v>
      </c>
      <c r="B93" t="s">
        <v>2816</v>
      </c>
      <c r="C93">
        <v>144268463</v>
      </c>
      <c r="D93" t="s">
        <v>2817</v>
      </c>
    </row>
    <row r="94" spans="1:4" x14ac:dyDescent="0.25">
      <c r="A94">
        <v>1020587</v>
      </c>
      <c r="B94" t="s">
        <v>2818</v>
      </c>
      <c r="C94">
        <v>27906101</v>
      </c>
      <c r="D94" t="s">
        <v>2819</v>
      </c>
    </row>
    <row r="95" spans="1:4" x14ac:dyDescent="0.25">
      <c r="A95">
        <v>1034155</v>
      </c>
      <c r="B95" t="s">
        <v>2820</v>
      </c>
      <c r="C95">
        <v>609123190</v>
      </c>
      <c r="D95" t="s">
        <v>2821</v>
      </c>
    </row>
    <row r="96" spans="1:4" x14ac:dyDescent="0.25">
      <c r="A96">
        <v>1068688</v>
      </c>
      <c r="B96" t="s">
        <v>2822</v>
      </c>
      <c r="C96">
        <v>668528826</v>
      </c>
      <c r="D96" t="s">
        <v>2823</v>
      </c>
    </row>
    <row r="97" spans="1:4" x14ac:dyDescent="0.25">
      <c r="A97">
        <v>1082693</v>
      </c>
      <c r="B97" t="s">
        <v>2824</v>
      </c>
      <c r="C97">
        <v>878515162</v>
      </c>
      <c r="D97" t="s">
        <v>2825</v>
      </c>
    </row>
    <row r="98" spans="1:4" x14ac:dyDescent="0.25">
      <c r="A98">
        <v>1073982</v>
      </c>
      <c r="B98" t="s">
        <v>2826</v>
      </c>
      <c r="C98">
        <v>812801526</v>
      </c>
      <c r="D98" t="s">
        <v>2827</v>
      </c>
    </row>
    <row r="99" spans="1:4" x14ac:dyDescent="0.25">
      <c r="A99">
        <v>1033788</v>
      </c>
      <c r="B99" t="s">
        <v>2828</v>
      </c>
      <c r="C99">
        <v>812913721</v>
      </c>
      <c r="D99" s="8" t="s">
        <v>3174</v>
      </c>
    </row>
    <row r="100" spans="1:4" x14ac:dyDescent="0.25">
      <c r="A100">
        <v>1009355</v>
      </c>
      <c r="B100" t="s">
        <v>2830</v>
      </c>
      <c r="C100">
        <v>44027352</v>
      </c>
      <c r="D100" t="s">
        <v>2829</v>
      </c>
    </row>
    <row r="101" spans="1:4" x14ac:dyDescent="0.25">
      <c r="A101">
        <v>1014065</v>
      </c>
      <c r="B101" t="s">
        <v>2831</v>
      </c>
      <c r="C101">
        <v>401310750</v>
      </c>
      <c r="D101" t="s">
        <v>2832</v>
      </c>
    </row>
    <row r="102" spans="1:4" x14ac:dyDescent="0.25">
      <c r="A102">
        <v>1068186</v>
      </c>
      <c r="B102" t="s">
        <v>2833</v>
      </c>
      <c r="C102">
        <v>999104262</v>
      </c>
      <c r="D102" t="s">
        <v>2832</v>
      </c>
    </row>
    <row r="103" spans="1:4" x14ac:dyDescent="0.25">
      <c r="A103">
        <v>1070797</v>
      </c>
      <c r="B103" t="s">
        <v>2834</v>
      </c>
      <c r="C103">
        <v>506158689</v>
      </c>
      <c r="D103" t="s">
        <v>2835</v>
      </c>
    </row>
    <row r="104" spans="1:4" x14ac:dyDescent="0.25">
      <c r="A104">
        <v>1070139</v>
      </c>
      <c r="B104" t="s">
        <v>2836</v>
      </c>
      <c r="C104">
        <v>680380292</v>
      </c>
      <c r="D104" t="s">
        <v>2837</v>
      </c>
    </row>
    <row r="105" spans="1:4" x14ac:dyDescent="0.25">
      <c r="A105">
        <v>1029784</v>
      </c>
      <c r="B105" t="s">
        <v>2838</v>
      </c>
      <c r="C105">
        <v>588109301</v>
      </c>
      <c r="D105" t="s">
        <v>2839</v>
      </c>
    </row>
    <row r="106" spans="1:4" x14ac:dyDescent="0.25">
      <c r="A106">
        <v>1062318</v>
      </c>
      <c r="B106" t="s">
        <v>2840</v>
      </c>
      <c r="C106">
        <v>800114696</v>
      </c>
      <c r="D106" t="s">
        <v>2841</v>
      </c>
    </row>
    <row r="107" spans="1:4" x14ac:dyDescent="0.25">
      <c r="A107">
        <v>1080575</v>
      </c>
      <c r="B107" t="s">
        <v>2842</v>
      </c>
      <c r="C107">
        <v>545314486</v>
      </c>
      <c r="D107" t="s">
        <v>2843</v>
      </c>
    </row>
    <row r="108" spans="1:4" x14ac:dyDescent="0.25">
      <c r="A108">
        <v>1015290</v>
      </c>
      <c r="B108" t="s">
        <v>2844</v>
      </c>
      <c r="C108">
        <v>544949956</v>
      </c>
      <c r="D108" t="s">
        <v>2845</v>
      </c>
    </row>
    <row r="109" spans="1:4" x14ac:dyDescent="0.25">
      <c r="A109">
        <v>1065000</v>
      </c>
      <c r="B109" t="s">
        <v>2846</v>
      </c>
      <c r="C109">
        <v>421288501</v>
      </c>
      <c r="D109" t="s">
        <v>2847</v>
      </c>
    </row>
    <row r="110" spans="1:4" x14ac:dyDescent="0.25">
      <c r="A110">
        <v>1043527</v>
      </c>
      <c r="B110" t="s">
        <v>2848</v>
      </c>
      <c r="C110">
        <v>527811783</v>
      </c>
      <c r="D110" t="s">
        <v>2849</v>
      </c>
    </row>
    <row r="111" spans="1:4" x14ac:dyDescent="0.25">
      <c r="A111">
        <v>1043613</v>
      </c>
      <c r="B111" t="s">
        <v>2850</v>
      </c>
      <c r="C111">
        <v>545259541</v>
      </c>
      <c r="D111" t="s">
        <v>2851</v>
      </c>
    </row>
    <row r="112" spans="1:4" x14ac:dyDescent="0.25">
      <c r="A112">
        <v>1025349</v>
      </c>
      <c r="B112" t="s">
        <v>2852</v>
      </c>
      <c r="C112">
        <v>27932909</v>
      </c>
      <c r="D112" t="s">
        <v>2853</v>
      </c>
    </row>
    <row r="113" spans="1:4" x14ac:dyDescent="0.25">
      <c r="A113">
        <v>1049687</v>
      </c>
      <c r="B113" t="s">
        <v>2702</v>
      </c>
      <c r="C113">
        <v>826934841</v>
      </c>
      <c r="D113" t="s">
        <v>2854</v>
      </c>
    </row>
    <row r="114" spans="1:4" x14ac:dyDescent="0.25">
      <c r="A114">
        <v>1082225</v>
      </c>
      <c r="B114" t="s">
        <v>2855</v>
      </c>
      <c r="C114">
        <v>999105911</v>
      </c>
      <c r="D114" t="s">
        <v>2856</v>
      </c>
    </row>
    <row r="115" spans="1:4" x14ac:dyDescent="0.25">
      <c r="A115">
        <v>1072624</v>
      </c>
      <c r="B115" t="s">
        <v>2857</v>
      </c>
      <c r="C115">
        <v>812820003</v>
      </c>
      <c r="D115" t="s">
        <v>2858</v>
      </c>
    </row>
    <row r="116" spans="1:4" x14ac:dyDescent="0.25">
      <c r="A116">
        <v>1090290</v>
      </c>
      <c r="B116" t="s">
        <v>2859</v>
      </c>
      <c r="C116">
        <v>785306619</v>
      </c>
      <c r="D116" t="s">
        <v>2860</v>
      </c>
    </row>
    <row r="117" spans="1:4" x14ac:dyDescent="0.25">
      <c r="A117">
        <v>1080531</v>
      </c>
      <c r="B117" t="s">
        <v>2861</v>
      </c>
      <c r="C117">
        <v>663895477</v>
      </c>
      <c r="D117" s="8" t="s">
        <v>2862</v>
      </c>
    </row>
    <row r="118" spans="1:4" x14ac:dyDescent="0.25">
      <c r="A118">
        <v>1086470</v>
      </c>
      <c r="B118" t="s">
        <v>2863</v>
      </c>
      <c r="C118">
        <v>951569152</v>
      </c>
    </row>
    <row r="119" spans="1:4" x14ac:dyDescent="0.25">
      <c r="A119">
        <v>1061744</v>
      </c>
      <c r="B119" t="s">
        <v>2864</v>
      </c>
      <c r="C119">
        <v>78417266</v>
      </c>
      <c r="D119" t="s">
        <v>2887</v>
      </c>
    </row>
    <row r="120" spans="1:4" x14ac:dyDescent="0.25">
      <c r="A120">
        <v>1036533</v>
      </c>
      <c r="B120" t="s">
        <v>2657</v>
      </c>
      <c r="C120">
        <v>812617926</v>
      </c>
      <c r="D120" t="s">
        <v>2658</v>
      </c>
    </row>
    <row r="121" spans="1:4" x14ac:dyDescent="0.25">
      <c r="A121">
        <v>1078206</v>
      </c>
      <c r="B121" t="s">
        <v>2865</v>
      </c>
      <c r="C121">
        <v>80275517</v>
      </c>
      <c r="D121" t="s">
        <v>2866</v>
      </c>
    </row>
    <row r="122" spans="1:4" x14ac:dyDescent="0.25">
      <c r="A122">
        <v>1034052</v>
      </c>
      <c r="B122" t="s">
        <v>2867</v>
      </c>
      <c r="C122">
        <v>654473834</v>
      </c>
      <c r="D122" t="s">
        <v>2868</v>
      </c>
    </row>
    <row r="123" spans="1:4" x14ac:dyDescent="0.25">
      <c r="A123">
        <v>1014170</v>
      </c>
      <c r="B123" t="s">
        <v>2869</v>
      </c>
      <c r="C123">
        <v>933384125</v>
      </c>
      <c r="D123" t="s">
        <v>2870</v>
      </c>
    </row>
    <row r="124" spans="1:4" x14ac:dyDescent="0.25">
      <c r="A124">
        <v>1008302</v>
      </c>
      <c r="B124" t="s">
        <v>2871</v>
      </c>
      <c r="C124">
        <v>328128038</v>
      </c>
      <c r="D124" t="s">
        <v>2872</v>
      </c>
    </row>
    <row r="125" spans="1:4" x14ac:dyDescent="0.25">
      <c r="A125">
        <v>1034739</v>
      </c>
      <c r="B125" t="s">
        <v>2873</v>
      </c>
      <c r="C125">
        <v>811759570</v>
      </c>
      <c r="D125" t="s">
        <v>2872</v>
      </c>
    </row>
    <row r="126" spans="1:4" x14ac:dyDescent="0.25">
      <c r="A126">
        <v>1076356</v>
      </c>
      <c r="B126" t="s">
        <v>2874</v>
      </c>
      <c r="C126">
        <v>999104881</v>
      </c>
      <c r="D126" t="s">
        <v>2875</v>
      </c>
    </row>
    <row r="127" spans="1:4" x14ac:dyDescent="0.25">
      <c r="A127">
        <v>1076319</v>
      </c>
      <c r="B127" t="s">
        <v>2876</v>
      </c>
      <c r="C127">
        <v>830302480</v>
      </c>
      <c r="D127" t="s">
        <v>2877</v>
      </c>
    </row>
    <row r="128" spans="1:4" x14ac:dyDescent="0.25">
      <c r="A128">
        <v>1006597</v>
      </c>
      <c r="B128" t="s">
        <v>2878</v>
      </c>
      <c r="C128">
        <v>64441207</v>
      </c>
      <c r="D128" t="s">
        <v>2879</v>
      </c>
    </row>
    <row r="129" spans="1:4" x14ac:dyDescent="0.25">
      <c r="A129">
        <v>1005711</v>
      </c>
      <c r="B129" t="s">
        <v>2880</v>
      </c>
      <c r="C129">
        <v>92954296</v>
      </c>
      <c r="D129" t="s">
        <v>2881</v>
      </c>
    </row>
    <row r="130" spans="1:4" x14ac:dyDescent="0.25">
      <c r="A130">
        <v>1080531</v>
      </c>
      <c r="B130" t="s">
        <v>2861</v>
      </c>
      <c r="C130">
        <v>663895477</v>
      </c>
      <c r="D130" s="9" t="s">
        <v>2931</v>
      </c>
    </row>
    <row r="131" spans="1:4" x14ac:dyDescent="0.25">
      <c r="A131">
        <v>1070478</v>
      </c>
      <c r="B131" t="s">
        <v>2882</v>
      </c>
      <c r="C131">
        <v>813898483</v>
      </c>
      <c r="D131" t="s">
        <v>2883</v>
      </c>
    </row>
    <row r="132" spans="1:4" x14ac:dyDescent="0.25">
      <c r="A132">
        <v>1067687</v>
      </c>
      <c r="B132" t="s">
        <v>2884</v>
      </c>
      <c r="C132">
        <v>999104222</v>
      </c>
      <c r="D132" t="s">
        <v>2885</v>
      </c>
    </row>
    <row r="133" spans="1:4" x14ac:dyDescent="0.25">
      <c r="A133">
        <v>1073982</v>
      </c>
      <c r="B133" t="s">
        <v>2826</v>
      </c>
      <c r="C133">
        <v>812801526</v>
      </c>
      <c r="D133" t="s">
        <v>2886</v>
      </c>
    </row>
    <row r="134" spans="1:4" x14ac:dyDescent="0.25">
      <c r="A134">
        <v>1090240</v>
      </c>
      <c r="B134" t="s">
        <v>2914</v>
      </c>
      <c r="D134" t="s">
        <v>2915</v>
      </c>
    </row>
    <row r="135" spans="1:4" x14ac:dyDescent="0.25">
      <c r="A135">
        <v>1085629</v>
      </c>
      <c r="B135" t="s">
        <v>2917</v>
      </c>
      <c r="C135">
        <v>116971280</v>
      </c>
      <c r="D135" s="8" t="s">
        <v>2916</v>
      </c>
    </row>
    <row r="136" spans="1:4" x14ac:dyDescent="0.25">
      <c r="A136">
        <v>1086244</v>
      </c>
      <c r="B136" t="s">
        <v>2918</v>
      </c>
      <c r="C136">
        <v>728866521</v>
      </c>
      <c r="D136" s="8" t="s">
        <v>2919</v>
      </c>
    </row>
    <row r="137" spans="1:4" x14ac:dyDescent="0.25">
      <c r="A137">
        <v>1063326</v>
      </c>
      <c r="B137" t="s">
        <v>2713</v>
      </c>
      <c r="C137">
        <v>916202785</v>
      </c>
      <c r="D137" s="8" t="s">
        <v>2921</v>
      </c>
    </row>
    <row r="138" spans="1:4" x14ac:dyDescent="0.25">
      <c r="A138">
        <v>1028667</v>
      </c>
      <c r="B138" t="s">
        <v>2721</v>
      </c>
      <c r="C138">
        <v>603244609</v>
      </c>
      <c r="D138" t="s">
        <v>2722</v>
      </c>
    </row>
    <row r="139" spans="1:4" x14ac:dyDescent="0.25">
      <c r="A139">
        <v>1071376</v>
      </c>
      <c r="B139" t="s">
        <v>2787</v>
      </c>
      <c r="C139">
        <v>79971408</v>
      </c>
    </row>
    <row r="140" spans="1:4" x14ac:dyDescent="0.25">
      <c r="A140">
        <v>1066744</v>
      </c>
      <c r="B140" t="s">
        <v>3132</v>
      </c>
      <c r="C140">
        <v>589437573</v>
      </c>
      <c r="D140" s="8" t="s">
        <v>3133</v>
      </c>
    </row>
    <row r="141" spans="1:4" x14ac:dyDescent="0.25">
      <c r="A141">
        <v>1090239</v>
      </c>
      <c r="B141" t="s">
        <v>2914</v>
      </c>
      <c r="C141">
        <v>121507094</v>
      </c>
      <c r="D141" t="s">
        <v>2915</v>
      </c>
    </row>
    <row r="142" spans="1:4" x14ac:dyDescent="0.25">
      <c r="A142">
        <v>1060998</v>
      </c>
      <c r="B142" t="s">
        <v>3018</v>
      </c>
      <c r="C142">
        <v>999103777</v>
      </c>
      <c r="D142" s="8" t="s">
        <v>2691</v>
      </c>
    </row>
    <row r="143" spans="1:4" x14ac:dyDescent="0.25">
      <c r="A143">
        <v>1075466</v>
      </c>
      <c r="B143" t="s">
        <v>3134</v>
      </c>
      <c r="C143">
        <v>507488352</v>
      </c>
      <c r="D143" t="s">
        <v>3140</v>
      </c>
    </row>
    <row r="144" spans="1:4" x14ac:dyDescent="0.25">
      <c r="A144">
        <v>1015479</v>
      </c>
      <c r="B144" t="s">
        <v>3136</v>
      </c>
      <c r="C144">
        <v>141417928</v>
      </c>
      <c r="D144" s="8" t="s">
        <v>3135</v>
      </c>
    </row>
    <row r="145" spans="1:4" x14ac:dyDescent="0.25">
      <c r="A145">
        <v>1005933</v>
      </c>
      <c r="B145" t="s">
        <v>2794</v>
      </c>
      <c r="C145">
        <v>362350464</v>
      </c>
      <c r="D145" s="8" t="s">
        <v>2795</v>
      </c>
    </row>
    <row r="146" spans="1:4" x14ac:dyDescent="0.25">
      <c r="A146">
        <v>1035990</v>
      </c>
      <c r="B146" t="s">
        <v>3137</v>
      </c>
      <c r="C146">
        <v>565470403</v>
      </c>
      <c r="D146" t="s">
        <v>3138</v>
      </c>
    </row>
    <row r="147" spans="1:4" x14ac:dyDescent="0.25">
      <c r="A147">
        <v>1025967</v>
      </c>
      <c r="B147" t="s">
        <v>3144</v>
      </c>
      <c r="C147">
        <v>444332076</v>
      </c>
      <c r="D147" s="8" t="s">
        <v>3152</v>
      </c>
    </row>
    <row r="148" spans="1:4" x14ac:dyDescent="0.25">
      <c r="A148">
        <v>1035181</v>
      </c>
      <c r="B148" t="s">
        <v>3146</v>
      </c>
      <c r="C148">
        <v>791163293</v>
      </c>
      <c r="D148" s="8" t="s">
        <v>3147</v>
      </c>
    </row>
    <row r="149" spans="1:4" x14ac:dyDescent="0.25">
      <c r="A149">
        <v>1008668</v>
      </c>
      <c r="B149" t="s">
        <v>2719</v>
      </c>
      <c r="C149">
        <v>781582481</v>
      </c>
      <c r="D149" t="s">
        <v>3170</v>
      </c>
    </row>
    <row r="150" spans="1:4" x14ac:dyDescent="0.25">
      <c r="A150">
        <v>1067688</v>
      </c>
      <c r="B150" t="s">
        <v>2884</v>
      </c>
      <c r="C150">
        <v>999104223</v>
      </c>
      <c r="D150" t="s">
        <v>3185</v>
      </c>
    </row>
    <row r="151" spans="1:4" x14ac:dyDescent="0.25">
      <c r="A151">
        <v>1071081</v>
      </c>
      <c r="B151" t="s">
        <v>3186</v>
      </c>
      <c r="C151">
        <v>825358836</v>
      </c>
      <c r="D151" t="s">
        <v>3187</v>
      </c>
    </row>
    <row r="152" spans="1:4" x14ac:dyDescent="0.25">
      <c r="A152">
        <v>1000763</v>
      </c>
      <c r="B152" t="s">
        <v>3188</v>
      </c>
      <c r="C152">
        <v>5509385</v>
      </c>
    </row>
    <row r="153" spans="1:4" x14ac:dyDescent="0.25">
      <c r="A153">
        <v>1022831</v>
      </c>
      <c r="B153" t="s">
        <v>2661</v>
      </c>
      <c r="C153">
        <v>118293427</v>
      </c>
      <c r="D153" t="s">
        <v>3198</v>
      </c>
    </row>
    <row r="154" spans="1:4" x14ac:dyDescent="0.25">
      <c r="A154">
        <v>1077185</v>
      </c>
      <c r="B154" t="s">
        <v>3200</v>
      </c>
      <c r="C154">
        <v>221137155</v>
      </c>
      <c r="D154" t="s">
        <v>3201</v>
      </c>
    </row>
    <row r="155" spans="1:4" x14ac:dyDescent="0.25">
      <c r="A155">
        <v>1047207</v>
      </c>
      <c r="B155" t="s">
        <v>3200</v>
      </c>
      <c r="C155">
        <v>221137155</v>
      </c>
      <c r="D155" t="s">
        <v>3201</v>
      </c>
    </row>
    <row r="156" spans="1:4" ht="14.5" x14ac:dyDescent="0.35">
      <c r="A156">
        <v>1052677</v>
      </c>
      <c r="B156" t="s">
        <v>2951</v>
      </c>
      <c r="C156">
        <v>813205457</v>
      </c>
      <c r="D156" s="32" t="s">
        <v>3205</v>
      </c>
    </row>
  </sheetData>
  <hyperlinks>
    <hyperlink ref="D137" r:id="rId1" display="mailto:k-p.kuriakose@aptiv.com" xr:uid="{38A20012-E33C-43B2-B5B8-680BEC991971}"/>
    <hyperlink ref="D136" r:id="rId2" xr:uid="{C4123F89-E443-490B-975D-6D6EE17BAA49}"/>
    <hyperlink ref="D48" r:id="rId3" xr:uid="{7259F832-D251-4ED4-A224-16CA6C18147E}"/>
    <hyperlink ref="D15" r:id="rId4" xr:uid="{561F06AF-B5E4-446C-B6E9-BE06937FB3DB}"/>
    <hyperlink ref="D22" r:id="rId5" xr:uid="{7D6CEFB8-10A9-4E79-BE8A-351A10971951}"/>
    <hyperlink ref="D135" r:id="rId6" xr:uid="{741445B0-D158-4A3D-8E8E-43BD259B536F}"/>
    <hyperlink ref="D87" r:id="rId7" xr:uid="{4DCCF5DC-AFE6-40BF-81E1-96D1C9D5F296}"/>
    <hyperlink ref="D140" r:id="rId8" xr:uid="{2112B469-2337-46CD-A44C-3FBE939E625E}"/>
    <hyperlink ref="D9" r:id="rId9" xr:uid="{07675109-EC28-4BCF-8D7C-B6B845834128}"/>
    <hyperlink ref="D20" r:id="rId10" xr:uid="{358F3F04-CC0A-4AA1-B308-C40F743C79A9}"/>
    <hyperlink ref="D142" r:id="rId11" xr:uid="{CE30E777-ADB6-49A6-B989-FFA45E1CFAAC}"/>
    <hyperlink ref="D144" r:id="rId12" xr:uid="{9C30EBED-73B2-4D20-A63A-5484ADA0ECDA}"/>
    <hyperlink ref="D117" r:id="rId13" xr:uid="{08253AD9-CD12-40D1-82BE-43D3422C41D8}"/>
    <hyperlink ref="D145" r:id="rId14" xr:uid="{50EDE1B3-2006-4B88-8244-3D35A220C3AC}"/>
    <hyperlink ref="D80" r:id="rId15" xr:uid="{87342A46-5F63-45FC-8132-B1461AF997D9}"/>
    <hyperlink ref="D148" r:id="rId16" xr:uid="{B8080FD8-4136-4395-A18B-839CB943A70D}"/>
    <hyperlink ref="D147" r:id="rId17" tooltip="mailto:jn@autecto.de" display="mailto:JN@autecto.de" xr:uid="{FE824CE6-55D7-4F1D-BBFD-567B91993FA7}"/>
    <hyperlink ref="D99" r:id="rId18" xr:uid="{17BE23D4-0E30-49A9-A139-14E5ACFD2476}"/>
  </hyperlinks>
  <pageMargins left="0.7" right="0.7" top="0.75" bottom="0.75" header="0.3" footer="0.3"/>
  <pageSetup orientation="portrait" r:id="rId19"/>
  <drawing r:id="rId20"/>
  <legacyDrawing r:id="rId21"/>
  <controls>
    <mc:AlternateContent xmlns:mc="http://schemas.openxmlformats.org/markup-compatibility/2006">
      <mc:Choice Requires="x14">
        <control shapeId="4098" r:id="rId22" name="Control 2">
          <controlPr defaultSize="0" r:id="rId23">
            <anchor moveWithCells="1">
              <from>
                <xdr:col>2</xdr:col>
                <xdr:colOff>0</xdr:colOff>
                <xdr:row>133</xdr:row>
                <xdr:rowOff>0</xdr:rowOff>
              </from>
              <to>
                <xdr:col>2</xdr:col>
                <xdr:colOff>666750</xdr:colOff>
                <xdr:row>134</xdr:row>
                <xdr:rowOff>69850</xdr:rowOff>
              </to>
            </anchor>
          </controlPr>
        </control>
      </mc:Choice>
      <mc:Fallback>
        <control shapeId="4098" r:id="rId22" name="Control 2"/>
      </mc:Fallback>
    </mc:AlternateContent>
    <mc:AlternateContent xmlns:mc="http://schemas.openxmlformats.org/markup-compatibility/2006">
      <mc:Choice Requires="x14">
        <control shapeId="4099" r:id="rId24" name="Control 3">
          <controlPr defaultSize="0" r:id="rId23">
            <anchor moveWithCells="1">
              <from>
                <xdr:col>2</xdr:col>
                <xdr:colOff>0</xdr:colOff>
                <xdr:row>133</xdr:row>
                <xdr:rowOff>0</xdr:rowOff>
              </from>
              <to>
                <xdr:col>2</xdr:col>
                <xdr:colOff>666750</xdr:colOff>
                <xdr:row>134</xdr:row>
                <xdr:rowOff>69850</xdr:rowOff>
              </to>
            </anchor>
          </controlPr>
        </control>
      </mc:Choice>
      <mc:Fallback>
        <control shapeId="4099" r:id="rId24" name="Control 3"/>
      </mc:Fallback>
    </mc:AlternateContent>
    <mc:AlternateContent xmlns:mc="http://schemas.openxmlformats.org/markup-compatibility/2006">
      <mc:Choice Requires="x14">
        <control shapeId="4100" r:id="rId25" name="Control 4">
          <controlPr defaultSize="0" r:id="rId23">
            <anchor moveWithCells="1">
              <from>
                <xdr:col>2</xdr:col>
                <xdr:colOff>0</xdr:colOff>
                <xdr:row>133</xdr:row>
                <xdr:rowOff>0</xdr:rowOff>
              </from>
              <to>
                <xdr:col>2</xdr:col>
                <xdr:colOff>666750</xdr:colOff>
                <xdr:row>134</xdr:row>
                <xdr:rowOff>69850</xdr:rowOff>
              </to>
            </anchor>
          </controlPr>
        </control>
      </mc:Choice>
      <mc:Fallback>
        <control shapeId="4100" r:id="rId25" name="Control 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 filterMode="1">
    <outlinePr summaryBelow="0"/>
  </sheetPr>
  <dimension ref="A1:Q54"/>
  <sheetViews>
    <sheetView workbookViewId="0">
      <selection activeCell="C40" sqref="C40"/>
    </sheetView>
  </sheetViews>
  <sheetFormatPr defaultRowHeight="12.5" x14ac:dyDescent="0.25"/>
  <cols>
    <col min="1" max="1" width="10" bestFit="1" customWidth="1"/>
    <col min="2" max="2" width="11" bestFit="1" customWidth="1"/>
    <col min="3" max="3" width="16" bestFit="1" customWidth="1"/>
    <col min="4" max="4" width="16" customWidth="1"/>
    <col min="5" max="5" width="7" bestFit="1" customWidth="1"/>
    <col min="6" max="6" width="13" bestFit="1" customWidth="1"/>
    <col min="7" max="7" width="42" bestFit="1" customWidth="1"/>
    <col min="8" max="8" width="20" bestFit="1" customWidth="1"/>
    <col min="9" max="9" width="11" bestFit="1" customWidth="1"/>
    <col min="10" max="10" width="12" bestFit="1" customWidth="1"/>
    <col min="11" max="11" width="13" bestFit="1" customWidth="1"/>
    <col min="12" max="12" width="12" bestFit="1" customWidth="1"/>
    <col min="13" max="13" width="16" bestFit="1" customWidth="1"/>
    <col min="14" max="14" width="21" bestFit="1" customWidth="1"/>
    <col min="15" max="15" width="17.36328125" bestFit="1" customWidth="1"/>
  </cols>
  <sheetData>
    <row r="1" spans="1:17" ht="37.5" x14ac:dyDescent="0.25">
      <c r="A1" s="5" t="s">
        <v>2465</v>
      </c>
      <c r="B1" s="5" t="s">
        <v>2466</v>
      </c>
      <c r="C1" s="1" t="s">
        <v>2467</v>
      </c>
      <c r="D1" s="1" t="s">
        <v>2648</v>
      </c>
      <c r="E1" s="1" t="s">
        <v>2468</v>
      </c>
      <c r="F1" s="5" t="s">
        <v>2469</v>
      </c>
      <c r="G1" s="1" t="s">
        <v>2470</v>
      </c>
      <c r="H1" s="1" t="s">
        <v>2471</v>
      </c>
      <c r="I1" s="5" t="s">
        <v>2472</v>
      </c>
      <c r="J1" s="5" t="s">
        <v>2473</v>
      </c>
      <c r="K1" s="1" t="s">
        <v>2474</v>
      </c>
      <c r="L1" s="1" t="s">
        <v>2475</v>
      </c>
      <c r="M1" s="1" t="s">
        <v>2476</v>
      </c>
      <c r="N1" s="1" t="s">
        <v>2477</v>
      </c>
      <c r="O1" t="s">
        <v>2478</v>
      </c>
      <c r="P1">
        <f>COUNTA(A:A)-1</f>
        <v>50</v>
      </c>
      <c r="Q1" s="6">
        <f ca="1">TODAY()</f>
        <v>45309</v>
      </c>
    </row>
    <row r="2" spans="1:17" hidden="1" x14ac:dyDescent="0.25">
      <c r="A2">
        <v>56522477</v>
      </c>
      <c r="B2" t="s">
        <v>2329</v>
      </c>
      <c r="C2" t="s">
        <v>322</v>
      </c>
      <c r="D2" t="s">
        <v>2483</v>
      </c>
      <c r="E2" t="s">
        <v>51</v>
      </c>
      <c r="F2" t="s">
        <v>3</v>
      </c>
      <c r="G2" t="s">
        <v>2330</v>
      </c>
      <c r="H2" s="2">
        <v>100</v>
      </c>
      <c r="I2" t="s">
        <v>32</v>
      </c>
      <c r="J2" t="s">
        <v>25</v>
      </c>
      <c r="K2" s="3">
        <v>207.4</v>
      </c>
      <c r="L2" t="s">
        <v>22</v>
      </c>
      <c r="M2" t="s">
        <v>2331</v>
      </c>
      <c r="N2" s="4">
        <v>45293</v>
      </c>
    </row>
    <row r="3" spans="1:17" x14ac:dyDescent="0.25">
      <c r="A3">
        <v>56522478</v>
      </c>
      <c r="B3" t="s">
        <v>2332</v>
      </c>
      <c r="C3" t="s">
        <v>22</v>
      </c>
      <c r="D3" t="s">
        <v>2554</v>
      </c>
      <c r="E3" t="s">
        <v>61</v>
      </c>
      <c r="F3" t="s">
        <v>3</v>
      </c>
      <c r="G3" t="s">
        <v>2333</v>
      </c>
      <c r="H3" s="2">
        <v>1</v>
      </c>
      <c r="I3" t="s">
        <v>32</v>
      </c>
      <c r="J3" t="s">
        <v>25</v>
      </c>
      <c r="K3" s="3">
        <v>1500</v>
      </c>
      <c r="L3" t="s">
        <v>22</v>
      </c>
      <c r="M3" t="s">
        <v>2334</v>
      </c>
      <c r="N3" s="4">
        <v>45293</v>
      </c>
    </row>
    <row r="4" spans="1:17" x14ac:dyDescent="0.25">
      <c r="A4">
        <v>56522479</v>
      </c>
      <c r="B4" t="s">
        <v>2335</v>
      </c>
      <c r="C4" t="s">
        <v>22</v>
      </c>
      <c r="D4" t="s">
        <v>2483</v>
      </c>
      <c r="E4" t="s">
        <v>51</v>
      </c>
      <c r="F4" t="s">
        <v>3</v>
      </c>
      <c r="G4" t="s">
        <v>2336</v>
      </c>
      <c r="H4" s="2">
        <v>10800</v>
      </c>
      <c r="I4" t="s">
        <v>13</v>
      </c>
      <c r="J4" t="s">
        <v>25</v>
      </c>
      <c r="K4" s="3">
        <v>585.04</v>
      </c>
      <c r="L4" t="s">
        <v>22</v>
      </c>
      <c r="M4" t="s">
        <v>2337</v>
      </c>
      <c r="N4" s="4">
        <v>45293</v>
      </c>
    </row>
    <row r="5" spans="1:17" hidden="1" x14ac:dyDescent="0.25">
      <c r="A5">
        <v>56522480</v>
      </c>
      <c r="B5" t="s">
        <v>2338</v>
      </c>
      <c r="C5" t="s">
        <v>65</v>
      </c>
      <c r="D5" t="s">
        <v>2483</v>
      </c>
      <c r="E5" t="s">
        <v>51</v>
      </c>
      <c r="F5" t="s">
        <v>3</v>
      </c>
      <c r="G5" t="s">
        <v>2339</v>
      </c>
      <c r="H5" s="2">
        <v>252</v>
      </c>
      <c r="I5" t="s">
        <v>5</v>
      </c>
      <c r="J5" t="s">
        <v>6</v>
      </c>
      <c r="K5" s="3">
        <v>546.1</v>
      </c>
      <c r="L5" t="s">
        <v>22</v>
      </c>
      <c r="M5" t="s">
        <v>2340</v>
      </c>
      <c r="N5" s="4">
        <v>45293</v>
      </c>
    </row>
    <row r="6" spans="1:17" hidden="1" x14ac:dyDescent="0.25">
      <c r="A6">
        <v>56548410</v>
      </c>
      <c r="B6" t="s">
        <v>2341</v>
      </c>
      <c r="C6" t="s">
        <v>17</v>
      </c>
      <c r="D6" t="s">
        <v>2557</v>
      </c>
      <c r="E6" t="s">
        <v>2</v>
      </c>
      <c r="F6" t="s">
        <v>3</v>
      </c>
      <c r="G6" t="s">
        <v>2342</v>
      </c>
      <c r="H6" s="2">
        <v>1</v>
      </c>
      <c r="I6" t="s">
        <v>32</v>
      </c>
      <c r="J6" t="s">
        <v>25</v>
      </c>
      <c r="K6" s="3">
        <v>11800</v>
      </c>
      <c r="L6" t="s">
        <v>22</v>
      </c>
      <c r="M6" t="s">
        <v>2343</v>
      </c>
      <c r="N6" s="4">
        <v>45294</v>
      </c>
    </row>
    <row r="7" spans="1:17" x14ac:dyDescent="0.25">
      <c r="A7">
        <v>56554271</v>
      </c>
      <c r="B7" t="s">
        <v>744</v>
      </c>
      <c r="C7" t="s">
        <v>22</v>
      </c>
      <c r="D7" t="s">
        <v>744</v>
      </c>
      <c r="E7" t="s">
        <v>237</v>
      </c>
      <c r="F7" t="s">
        <v>3</v>
      </c>
      <c r="G7" t="s">
        <v>2344</v>
      </c>
      <c r="H7" s="2">
        <v>35</v>
      </c>
      <c r="I7" t="s">
        <v>5</v>
      </c>
      <c r="J7" t="s">
        <v>33</v>
      </c>
      <c r="K7" s="3">
        <v>0</v>
      </c>
      <c r="L7" t="s">
        <v>2345</v>
      </c>
      <c r="M7" t="s">
        <v>2346</v>
      </c>
      <c r="N7" s="4">
        <v>45294</v>
      </c>
    </row>
    <row r="8" spans="1:17" hidden="1" x14ac:dyDescent="0.25">
      <c r="A8">
        <v>56554302</v>
      </c>
      <c r="B8" t="s">
        <v>2347</v>
      </c>
      <c r="C8" t="s">
        <v>236</v>
      </c>
      <c r="D8" t="s">
        <v>2649</v>
      </c>
      <c r="E8" t="s">
        <v>2348</v>
      </c>
      <c r="F8" t="s">
        <v>3</v>
      </c>
      <c r="G8" t="s">
        <v>2349</v>
      </c>
      <c r="H8" s="2">
        <v>12</v>
      </c>
      <c r="I8" t="s">
        <v>106</v>
      </c>
      <c r="J8" t="s">
        <v>33</v>
      </c>
      <c r="K8" s="3">
        <v>5673.84</v>
      </c>
      <c r="L8" t="s">
        <v>22</v>
      </c>
      <c r="M8" t="s">
        <v>2350</v>
      </c>
      <c r="N8" s="4">
        <v>45295</v>
      </c>
    </row>
    <row r="9" spans="1:17" hidden="1" x14ac:dyDescent="0.25">
      <c r="A9">
        <v>56554303</v>
      </c>
      <c r="B9" t="s">
        <v>2351</v>
      </c>
      <c r="C9" t="s">
        <v>236</v>
      </c>
      <c r="D9" t="s">
        <v>2649</v>
      </c>
      <c r="E9" t="s">
        <v>2348</v>
      </c>
      <c r="F9" t="s">
        <v>3</v>
      </c>
      <c r="G9" t="s">
        <v>2352</v>
      </c>
      <c r="H9" s="2">
        <v>12</v>
      </c>
      <c r="I9" t="s">
        <v>32</v>
      </c>
      <c r="J9" t="s">
        <v>33</v>
      </c>
      <c r="K9" s="3">
        <v>6820.2</v>
      </c>
      <c r="L9" t="s">
        <v>22</v>
      </c>
      <c r="M9" t="s">
        <v>2353</v>
      </c>
      <c r="N9" s="4">
        <v>45295</v>
      </c>
    </row>
    <row r="10" spans="1:17" hidden="1" x14ac:dyDescent="0.25">
      <c r="A10">
        <v>56554330</v>
      </c>
      <c r="B10" t="s">
        <v>2354</v>
      </c>
      <c r="C10" t="s">
        <v>236</v>
      </c>
      <c r="D10" t="s">
        <v>2649</v>
      </c>
      <c r="E10" t="s">
        <v>301</v>
      </c>
      <c r="F10" t="s">
        <v>3</v>
      </c>
      <c r="G10" t="s">
        <v>2355</v>
      </c>
      <c r="H10" s="2">
        <v>12</v>
      </c>
      <c r="I10" t="s">
        <v>32</v>
      </c>
      <c r="J10" t="s">
        <v>33</v>
      </c>
      <c r="K10" s="3">
        <v>3522.84</v>
      </c>
      <c r="L10" t="s">
        <v>22</v>
      </c>
      <c r="M10" t="s">
        <v>2356</v>
      </c>
      <c r="N10" s="4">
        <v>45295</v>
      </c>
    </row>
    <row r="11" spans="1:17" hidden="1" x14ac:dyDescent="0.25">
      <c r="A11">
        <v>56554332</v>
      </c>
      <c r="B11" t="s">
        <v>2357</v>
      </c>
      <c r="C11" t="s">
        <v>2358</v>
      </c>
      <c r="D11" t="s">
        <v>2492</v>
      </c>
      <c r="E11" t="s">
        <v>46</v>
      </c>
      <c r="F11" t="s">
        <v>3</v>
      </c>
      <c r="G11" t="s">
        <v>2359</v>
      </c>
      <c r="H11" s="2">
        <v>320</v>
      </c>
      <c r="I11" t="s">
        <v>32</v>
      </c>
      <c r="J11" t="s">
        <v>33</v>
      </c>
      <c r="K11" s="3">
        <v>3184</v>
      </c>
      <c r="L11" t="s">
        <v>22</v>
      </c>
      <c r="M11" t="s">
        <v>2360</v>
      </c>
      <c r="N11" s="4">
        <v>45294</v>
      </c>
    </row>
    <row r="12" spans="1:17" hidden="1" x14ac:dyDescent="0.25">
      <c r="A12">
        <v>56558906</v>
      </c>
      <c r="B12" t="s">
        <v>2361</v>
      </c>
      <c r="C12" t="s">
        <v>236</v>
      </c>
      <c r="D12" t="s">
        <v>2649</v>
      </c>
      <c r="E12" t="s">
        <v>1862</v>
      </c>
      <c r="F12" t="s">
        <v>3</v>
      </c>
      <c r="G12" t="s">
        <v>2362</v>
      </c>
      <c r="H12" s="2">
        <v>12</v>
      </c>
      <c r="I12" t="s">
        <v>106</v>
      </c>
      <c r="J12" t="s">
        <v>33</v>
      </c>
      <c r="K12" s="3">
        <v>3522.84</v>
      </c>
      <c r="L12" t="s">
        <v>22</v>
      </c>
      <c r="M12" t="s">
        <v>2363</v>
      </c>
      <c r="N12" s="4">
        <v>45299</v>
      </c>
    </row>
    <row r="13" spans="1:17" hidden="1" x14ac:dyDescent="0.25">
      <c r="A13">
        <v>56558907</v>
      </c>
      <c r="B13" t="s">
        <v>2364</v>
      </c>
      <c r="C13" t="s">
        <v>236</v>
      </c>
      <c r="D13" t="s">
        <v>2649</v>
      </c>
      <c r="E13" t="s">
        <v>2365</v>
      </c>
      <c r="F13" t="s">
        <v>3</v>
      </c>
      <c r="G13" t="s">
        <v>2366</v>
      </c>
      <c r="H13" s="2">
        <v>12</v>
      </c>
      <c r="I13" t="s">
        <v>106</v>
      </c>
      <c r="J13" t="s">
        <v>33</v>
      </c>
      <c r="K13" s="3">
        <v>3522.84</v>
      </c>
      <c r="L13" t="s">
        <v>22</v>
      </c>
      <c r="M13" t="s">
        <v>2367</v>
      </c>
      <c r="N13" s="4">
        <v>45299</v>
      </c>
    </row>
    <row r="14" spans="1:17" hidden="1" x14ac:dyDescent="0.25">
      <c r="A14">
        <v>56558909</v>
      </c>
      <c r="B14" t="s">
        <v>2368</v>
      </c>
      <c r="C14" t="s">
        <v>236</v>
      </c>
      <c r="D14" t="s">
        <v>2649</v>
      </c>
      <c r="E14" t="s">
        <v>1582</v>
      </c>
      <c r="F14" t="s">
        <v>3</v>
      </c>
      <c r="G14" t="s">
        <v>2369</v>
      </c>
      <c r="H14" s="2">
        <v>12</v>
      </c>
      <c r="I14" t="s">
        <v>106</v>
      </c>
      <c r="J14" t="s">
        <v>33</v>
      </c>
      <c r="K14" s="3">
        <v>3522.84</v>
      </c>
      <c r="L14" t="s">
        <v>22</v>
      </c>
      <c r="M14" t="s">
        <v>2370</v>
      </c>
      <c r="N14" s="4">
        <v>45299</v>
      </c>
    </row>
    <row r="15" spans="1:17" hidden="1" x14ac:dyDescent="0.25">
      <c r="A15">
        <v>56558910</v>
      </c>
      <c r="B15" t="s">
        <v>2371</v>
      </c>
      <c r="C15" t="s">
        <v>236</v>
      </c>
      <c r="D15" t="s">
        <v>2649</v>
      </c>
      <c r="E15" t="s">
        <v>2127</v>
      </c>
      <c r="F15" t="s">
        <v>3</v>
      </c>
      <c r="G15" t="s">
        <v>2372</v>
      </c>
      <c r="H15" s="2">
        <v>12</v>
      </c>
      <c r="I15" t="s">
        <v>106</v>
      </c>
      <c r="J15" t="s">
        <v>33</v>
      </c>
      <c r="K15" s="3">
        <v>3977.4</v>
      </c>
      <c r="L15" t="s">
        <v>22</v>
      </c>
      <c r="M15" t="s">
        <v>2373</v>
      </c>
      <c r="N15" s="4">
        <v>45299</v>
      </c>
    </row>
    <row r="16" spans="1:17" hidden="1" x14ac:dyDescent="0.25">
      <c r="A16">
        <v>56558982</v>
      </c>
      <c r="B16" t="s">
        <v>2374</v>
      </c>
      <c r="C16" t="s">
        <v>1350</v>
      </c>
      <c r="D16" t="s">
        <v>2559</v>
      </c>
      <c r="E16" t="s">
        <v>23</v>
      </c>
      <c r="F16" t="s">
        <v>3</v>
      </c>
      <c r="G16" t="s">
        <v>1589</v>
      </c>
      <c r="H16" s="2">
        <v>1</v>
      </c>
      <c r="I16" t="s">
        <v>32</v>
      </c>
      <c r="J16" t="s">
        <v>25</v>
      </c>
      <c r="K16" s="3">
        <v>3400</v>
      </c>
      <c r="L16" t="s">
        <v>22</v>
      </c>
      <c r="M16" t="s">
        <v>2375</v>
      </c>
      <c r="N16" s="4">
        <v>45295</v>
      </c>
    </row>
    <row r="17" spans="1:14" hidden="1" x14ac:dyDescent="0.25">
      <c r="A17">
        <v>56558983</v>
      </c>
      <c r="B17" t="s">
        <v>2376</v>
      </c>
      <c r="C17" t="s">
        <v>65</v>
      </c>
      <c r="D17" t="s">
        <v>2483</v>
      </c>
      <c r="E17" t="s">
        <v>51</v>
      </c>
      <c r="F17" t="s">
        <v>3</v>
      </c>
      <c r="G17" t="s">
        <v>2377</v>
      </c>
      <c r="H17" s="2">
        <v>50</v>
      </c>
      <c r="I17" t="s">
        <v>5</v>
      </c>
      <c r="J17" t="s">
        <v>25</v>
      </c>
      <c r="K17" s="3">
        <v>8.0500000000000007</v>
      </c>
      <c r="L17" t="s">
        <v>22</v>
      </c>
      <c r="M17" t="s">
        <v>2378</v>
      </c>
      <c r="N17" s="4">
        <v>45295</v>
      </c>
    </row>
    <row r="18" spans="1:14" hidden="1" x14ac:dyDescent="0.25">
      <c r="A18">
        <v>56558984</v>
      </c>
      <c r="B18" t="s">
        <v>2379</v>
      </c>
      <c r="C18" t="s">
        <v>322</v>
      </c>
      <c r="D18" t="s">
        <v>2483</v>
      </c>
      <c r="E18" t="s">
        <v>51</v>
      </c>
      <c r="F18" t="s">
        <v>3</v>
      </c>
      <c r="G18" t="s">
        <v>2380</v>
      </c>
      <c r="H18" s="2">
        <v>100</v>
      </c>
      <c r="I18" t="s">
        <v>5</v>
      </c>
      <c r="J18" t="s">
        <v>25</v>
      </c>
      <c r="K18" s="3">
        <v>136</v>
      </c>
      <c r="L18" t="s">
        <v>22</v>
      </c>
      <c r="M18" t="s">
        <v>2381</v>
      </c>
      <c r="N18" s="4">
        <v>45295</v>
      </c>
    </row>
    <row r="19" spans="1:14" hidden="1" x14ac:dyDescent="0.25">
      <c r="A19">
        <v>56558985</v>
      </c>
      <c r="B19" t="s">
        <v>2382</v>
      </c>
      <c r="C19" t="s">
        <v>1048</v>
      </c>
      <c r="D19" t="s">
        <v>2487</v>
      </c>
      <c r="E19" t="s">
        <v>2</v>
      </c>
      <c r="F19" t="s">
        <v>3</v>
      </c>
      <c r="G19" t="s">
        <v>2383</v>
      </c>
      <c r="H19" s="2">
        <v>8</v>
      </c>
      <c r="I19" t="s">
        <v>32</v>
      </c>
      <c r="J19" t="s">
        <v>25</v>
      </c>
      <c r="K19" s="3">
        <v>640</v>
      </c>
      <c r="L19" t="s">
        <v>22</v>
      </c>
      <c r="M19" t="s">
        <v>2384</v>
      </c>
      <c r="N19" s="4">
        <v>45296</v>
      </c>
    </row>
    <row r="20" spans="1:14" hidden="1" x14ac:dyDescent="0.25">
      <c r="A20">
        <v>56558986</v>
      </c>
      <c r="B20" t="s">
        <v>2385</v>
      </c>
      <c r="C20" t="s">
        <v>2386</v>
      </c>
      <c r="D20" t="s">
        <v>2560</v>
      </c>
      <c r="E20" t="s">
        <v>51</v>
      </c>
      <c r="F20" t="s">
        <v>3</v>
      </c>
      <c r="G20" t="s">
        <v>1155</v>
      </c>
      <c r="H20" s="2">
        <v>1</v>
      </c>
      <c r="I20" t="s">
        <v>32</v>
      </c>
      <c r="J20" t="s">
        <v>25</v>
      </c>
      <c r="K20" s="3">
        <v>1500</v>
      </c>
      <c r="L20" t="s">
        <v>22</v>
      </c>
      <c r="M20" t="s">
        <v>2387</v>
      </c>
      <c r="N20" s="4">
        <v>45295</v>
      </c>
    </row>
    <row r="21" spans="1:14" hidden="1" x14ac:dyDescent="0.25">
      <c r="A21">
        <v>56563575</v>
      </c>
      <c r="B21" t="s">
        <v>2388</v>
      </c>
      <c r="C21" t="s">
        <v>2389</v>
      </c>
      <c r="D21" t="s">
        <v>2488</v>
      </c>
      <c r="E21" t="s">
        <v>75</v>
      </c>
      <c r="F21" t="s">
        <v>3</v>
      </c>
      <c r="G21" t="s">
        <v>2390</v>
      </c>
      <c r="H21" s="2">
        <v>200</v>
      </c>
      <c r="I21" t="s">
        <v>5</v>
      </c>
      <c r="J21" t="s">
        <v>25</v>
      </c>
      <c r="K21" s="3">
        <v>796</v>
      </c>
      <c r="L21" t="s">
        <v>22</v>
      </c>
      <c r="M21" t="s">
        <v>2391</v>
      </c>
      <c r="N21" s="4">
        <v>45296</v>
      </c>
    </row>
    <row r="22" spans="1:14" hidden="1" x14ac:dyDescent="0.25">
      <c r="A22">
        <v>56563576</v>
      </c>
      <c r="B22" t="s">
        <v>2392</v>
      </c>
      <c r="C22" t="s">
        <v>2393</v>
      </c>
      <c r="D22" t="s">
        <v>2499</v>
      </c>
      <c r="E22" t="s">
        <v>289</v>
      </c>
      <c r="F22" t="s">
        <v>3</v>
      </c>
      <c r="G22" t="s">
        <v>2394</v>
      </c>
      <c r="H22" s="2">
        <v>101060</v>
      </c>
      <c r="I22" t="s">
        <v>32</v>
      </c>
      <c r="J22" t="s">
        <v>25</v>
      </c>
      <c r="K22" s="3">
        <v>0</v>
      </c>
      <c r="L22" t="s">
        <v>22</v>
      </c>
      <c r="M22" t="s">
        <v>22</v>
      </c>
      <c r="N22" s="4"/>
    </row>
    <row r="23" spans="1:14" hidden="1" x14ac:dyDescent="0.25">
      <c r="A23">
        <v>56563578</v>
      </c>
      <c r="B23" t="s">
        <v>2395</v>
      </c>
      <c r="C23" t="s">
        <v>2396</v>
      </c>
      <c r="D23" t="s">
        <v>2487</v>
      </c>
      <c r="E23" t="s">
        <v>2</v>
      </c>
      <c r="F23" t="s">
        <v>3</v>
      </c>
      <c r="G23" t="s">
        <v>2397</v>
      </c>
      <c r="H23" s="2">
        <v>8</v>
      </c>
      <c r="I23" t="s">
        <v>32</v>
      </c>
      <c r="J23" t="s">
        <v>25</v>
      </c>
      <c r="K23" s="3">
        <v>2000</v>
      </c>
      <c r="L23" t="s">
        <v>22</v>
      </c>
      <c r="M23" t="s">
        <v>2398</v>
      </c>
      <c r="N23" s="4">
        <v>45296</v>
      </c>
    </row>
    <row r="24" spans="1:14" hidden="1" x14ac:dyDescent="0.25">
      <c r="A24">
        <v>56564286</v>
      </c>
      <c r="B24" t="s">
        <v>2399</v>
      </c>
      <c r="C24" t="s">
        <v>514</v>
      </c>
      <c r="D24" t="s">
        <v>2483</v>
      </c>
      <c r="E24" t="s">
        <v>51</v>
      </c>
      <c r="F24" t="s">
        <v>3</v>
      </c>
      <c r="G24" t="s">
        <v>2400</v>
      </c>
      <c r="H24" s="2">
        <v>240</v>
      </c>
      <c r="I24" t="s">
        <v>5</v>
      </c>
      <c r="J24" t="s">
        <v>25</v>
      </c>
      <c r="K24" s="3">
        <v>5020.8</v>
      </c>
      <c r="L24" t="s">
        <v>22</v>
      </c>
      <c r="M24" t="s">
        <v>2401</v>
      </c>
      <c r="N24" s="4">
        <v>45299</v>
      </c>
    </row>
    <row r="25" spans="1:14" hidden="1" x14ac:dyDescent="0.25">
      <c r="A25">
        <v>56564287</v>
      </c>
      <c r="B25" t="s">
        <v>2402</v>
      </c>
      <c r="C25" t="s">
        <v>2403</v>
      </c>
      <c r="D25" t="s">
        <v>2561</v>
      </c>
      <c r="E25" t="s">
        <v>51</v>
      </c>
      <c r="F25" t="s">
        <v>3</v>
      </c>
      <c r="G25" t="s">
        <v>2404</v>
      </c>
      <c r="H25" s="2">
        <v>1</v>
      </c>
      <c r="I25" t="s">
        <v>32</v>
      </c>
      <c r="J25" t="s">
        <v>25</v>
      </c>
      <c r="K25" s="3">
        <v>12600</v>
      </c>
      <c r="L25" t="s">
        <v>22</v>
      </c>
      <c r="M25" t="s">
        <v>2405</v>
      </c>
      <c r="N25" s="4">
        <v>45299</v>
      </c>
    </row>
    <row r="26" spans="1:14" hidden="1" x14ac:dyDescent="0.25">
      <c r="A26">
        <v>56564288</v>
      </c>
      <c r="B26" t="s">
        <v>2406</v>
      </c>
      <c r="C26" t="s">
        <v>2407</v>
      </c>
      <c r="D26" t="s">
        <v>2483</v>
      </c>
      <c r="E26" t="s">
        <v>51</v>
      </c>
      <c r="F26" t="s">
        <v>3</v>
      </c>
      <c r="G26" t="s">
        <v>2408</v>
      </c>
      <c r="H26" s="2">
        <v>9000</v>
      </c>
      <c r="I26" t="s">
        <v>5</v>
      </c>
      <c r="J26" t="s">
        <v>25</v>
      </c>
      <c r="K26" s="3">
        <v>810.99</v>
      </c>
      <c r="L26" t="s">
        <v>22</v>
      </c>
      <c r="M26" t="s">
        <v>2409</v>
      </c>
      <c r="N26" s="4">
        <v>45299</v>
      </c>
    </row>
    <row r="27" spans="1:14" hidden="1" x14ac:dyDescent="0.25">
      <c r="A27">
        <v>56564289</v>
      </c>
      <c r="B27" t="s">
        <v>2410</v>
      </c>
      <c r="C27" t="s">
        <v>1984</v>
      </c>
      <c r="D27" t="s">
        <v>2545</v>
      </c>
      <c r="E27" t="s">
        <v>75</v>
      </c>
      <c r="F27" t="s">
        <v>3</v>
      </c>
      <c r="G27" t="s">
        <v>2411</v>
      </c>
      <c r="H27" s="2">
        <v>26</v>
      </c>
      <c r="I27" t="s">
        <v>32</v>
      </c>
      <c r="J27" t="s">
        <v>25</v>
      </c>
      <c r="K27" s="3">
        <v>626.08000000000004</v>
      </c>
      <c r="L27" t="s">
        <v>22</v>
      </c>
      <c r="M27" t="s">
        <v>2412</v>
      </c>
      <c r="N27" s="4">
        <v>45299</v>
      </c>
    </row>
    <row r="28" spans="1:14" hidden="1" x14ac:dyDescent="0.25">
      <c r="A28">
        <v>56564290</v>
      </c>
      <c r="B28" t="s">
        <v>2413</v>
      </c>
      <c r="C28" t="s">
        <v>2414</v>
      </c>
      <c r="D28" t="s">
        <v>2505</v>
      </c>
      <c r="E28" t="s">
        <v>289</v>
      </c>
      <c r="F28" t="s">
        <v>3</v>
      </c>
      <c r="G28" t="s">
        <v>2415</v>
      </c>
      <c r="H28" s="2">
        <v>40000</v>
      </c>
      <c r="I28" t="s">
        <v>32</v>
      </c>
      <c r="J28" t="s">
        <v>25</v>
      </c>
      <c r="K28" s="3">
        <v>9256</v>
      </c>
      <c r="L28" t="s">
        <v>22</v>
      </c>
      <c r="M28" t="s">
        <v>2416</v>
      </c>
      <c r="N28" s="4">
        <v>45299</v>
      </c>
    </row>
    <row r="29" spans="1:14" hidden="1" x14ac:dyDescent="0.25">
      <c r="A29">
        <v>56564291</v>
      </c>
      <c r="B29" t="s">
        <v>2417</v>
      </c>
      <c r="C29" t="s">
        <v>486</v>
      </c>
      <c r="D29" t="s">
        <v>2483</v>
      </c>
      <c r="E29" t="s">
        <v>51</v>
      </c>
      <c r="F29" t="s">
        <v>3</v>
      </c>
      <c r="G29" t="s">
        <v>2418</v>
      </c>
      <c r="H29" s="2">
        <v>115</v>
      </c>
      <c r="I29" t="s">
        <v>5</v>
      </c>
      <c r="J29" t="s">
        <v>25</v>
      </c>
      <c r="K29" s="3">
        <v>1880.25</v>
      </c>
      <c r="L29" t="s">
        <v>22</v>
      </c>
      <c r="M29" t="s">
        <v>2419</v>
      </c>
      <c r="N29" s="4">
        <v>45299</v>
      </c>
    </row>
    <row r="30" spans="1:14" hidden="1" x14ac:dyDescent="0.25">
      <c r="A30">
        <v>56586993</v>
      </c>
      <c r="B30" t="s">
        <v>2420</v>
      </c>
      <c r="C30" t="s">
        <v>2421</v>
      </c>
      <c r="D30" t="s">
        <v>2556</v>
      </c>
      <c r="E30" t="s">
        <v>155</v>
      </c>
      <c r="F30" t="s">
        <v>3</v>
      </c>
      <c r="G30" t="s">
        <v>2422</v>
      </c>
      <c r="H30" s="2">
        <v>1</v>
      </c>
      <c r="I30" t="s">
        <v>13</v>
      </c>
      <c r="J30" t="s">
        <v>25</v>
      </c>
      <c r="K30" s="3">
        <v>200</v>
      </c>
      <c r="L30" t="s">
        <v>2423</v>
      </c>
      <c r="M30" t="s">
        <v>2424</v>
      </c>
      <c r="N30" s="4">
        <v>45299</v>
      </c>
    </row>
    <row r="31" spans="1:14" hidden="1" x14ac:dyDescent="0.25">
      <c r="A31">
        <v>56587073</v>
      </c>
      <c r="B31" t="s">
        <v>2425</v>
      </c>
      <c r="C31" t="s">
        <v>45</v>
      </c>
      <c r="D31" t="s">
        <v>2480</v>
      </c>
      <c r="E31" t="s">
        <v>2365</v>
      </c>
      <c r="F31" t="s">
        <v>3</v>
      </c>
      <c r="G31" t="s">
        <v>2426</v>
      </c>
      <c r="H31" s="2">
        <v>12500</v>
      </c>
      <c r="I31" t="s">
        <v>5</v>
      </c>
      <c r="J31" t="s">
        <v>25</v>
      </c>
      <c r="K31" s="3">
        <v>1800</v>
      </c>
      <c r="L31" t="s">
        <v>2427</v>
      </c>
      <c r="M31" t="s">
        <v>2428</v>
      </c>
      <c r="N31" s="4">
        <v>45300</v>
      </c>
    </row>
    <row r="32" spans="1:14" hidden="1" x14ac:dyDescent="0.25">
      <c r="A32">
        <v>56587074</v>
      </c>
      <c r="B32" t="s">
        <v>2429</v>
      </c>
      <c r="C32" t="s">
        <v>2430</v>
      </c>
      <c r="D32" t="s">
        <v>2484</v>
      </c>
      <c r="E32" t="s">
        <v>301</v>
      </c>
      <c r="F32" t="s">
        <v>3</v>
      </c>
      <c r="G32" t="s">
        <v>2431</v>
      </c>
      <c r="H32" s="2">
        <v>1</v>
      </c>
      <c r="I32" t="s">
        <v>32</v>
      </c>
      <c r="J32" t="s">
        <v>25</v>
      </c>
      <c r="K32" s="3">
        <v>950</v>
      </c>
      <c r="L32" t="s">
        <v>22</v>
      </c>
      <c r="M32" t="s">
        <v>2432</v>
      </c>
      <c r="N32" s="4">
        <v>45300</v>
      </c>
    </row>
    <row r="33" spans="1:14" hidden="1" x14ac:dyDescent="0.25">
      <c r="A33">
        <v>56587075</v>
      </c>
      <c r="B33" t="s">
        <v>2433</v>
      </c>
      <c r="C33" t="s">
        <v>2050</v>
      </c>
      <c r="D33" t="s">
        <v>2479</v>
      </c>
      <c r="E33" t="s">
        <v>301</v>
      </c>
      <c r="F33" t="s">
        <v>3</v>
      </c>
      <c r="G33" t="s">
        <v>2434</v>
      </c>
      <c r="H33" s="2">
        <v>300</v>
      </c>
      <c r="I33" t="s">
        <v>5</v>
      </c>
      <c r="J33" t="s">
        <v>6</v>
      </c>
      <c r="K33" s="3">
        <v>3000</v>
      </c>
      <c r="L33" t="s">
        <v>2435</v>
      </c>
      <c r="M33" t="s">
        <v>2436</v>
      </c>
      <c r="N33" s="4">
        <v>45300</v>
      </c>
    </row>
    <row r="34" spans="1:14" hidden="1" x14ac:dyDescent="0.25">
      <c r="A34">
        <v>56587075</v>
      </c>
      <c r="B34" t="s">
        <v>2437</v>
      </c>
      <c r="C34" t="s">
        <v>374</v>
      </c>
      <c r="D34" s="9" t="s">
        <v>2562</v>
      </c>
      <c r="E34" t="s">
        <v>2</v>
      </c>
      <c r="F34" t="s">
        <v>3</v>
      </c>
      <c r="G34" t="s">
        <v>2438</v>
      </c>
      <c r="H34" s="2">
        <v>1400</v>
      </c>
      <c r="I34" t="s">
        <v>32</v>
      </c>
      <c r="J34" t="s">
        <v>6</v>
      </c>
      <c r="K34" s="3">
        <v>588</v>
      </c>
      <c r="L34" t="s">
        <v>22</v>
      </c>
      <c r="M34" t="s">
        <v>22</v>
      </c>
      <c r="N34" s="4"/>
    </row>
    <row r="35" spans="1:14" hidden="1" x14ac:dyDescent="0.25">
      <c r="A35">
        <v>56587079</v>
      </c>
      <c r="B35" t="s">
        <v>2439</v>
      </c>
      <c r="C35" t="s">
        <v>1137</v>
      </c>
      <c r="D35" t="s">
        <v>2524</v>
      </c>
      <c r="E35" t="s">
        <v>96</v>
      </c>
      <c r="F35" t="s">
        <v>3</v>
      </c>
      <c r="G35" t="s">
        <v>2440</v>
      </c>
      <c r="H35" s="2">
        <v>1</v>
      </c>
      <c r="I35" t="s">
        <v>32</v>
      </c>
      <c r="J35" t="s">
        <v>6</v>
      </c>
      <c r="K35" s="3">
        <v>500</v>
      </c>
      <c r="L35" t="s">
        <v>22</v>
      </c>
      <c r="M35" t="s">
        <v>2441</v>
      </c>
      <c r="N35" s="4">
        <v>45300</v>
      </c>
    </row>
    <row r="36" spans="1:14" hidden="1" x14ac:dyDescent="0.25">
      <c r="A36">
        <v>56587083</v>
      </c>
      <c r="B36" t="s">
        <v>2442</v>
      </c>
      <c r="C36" t="s">
        <v>582</v>
      </c>
      <c r="D36" t="s">
        <v>2550</v>
      </c>
      <c r="E36" t="s">
        <v>56</v>
      </c>
      <c r="F36" t="s">
        <v>3</v>
      </c>
      <c r="G36" t="s">
        <v>2443</v>
      </c>
      <c r="H36" s="2">
        <v>1</v>
      </c>
      <c r="I36" t="s">
        <v>5</v>
      </c>
      <c r="J36" t="s">
        <v>6</v>
      </c>
      <c r="K36" s="3">
        <v>290</v>
      </c>
      <c r="L36" t="s">
        <v>2444</v>
      </c>
      <c r="M36" t="s">
        <v>2445</v>
      </c>
      <c r="N36" s="4">
        <v>45299</v>
      </c>
    </row>
    <row r="37" spans="1:14" hidden="1" x14ac:dyDescent="0.25">
      <c r="A37">
        <v>56587084</v>
      </c>
      <c r="B37" t="s">
        <v>2446</v>
      </c>
      <c r="C37" t="s">
        <v>582</v>
      </c>
      <c r="D37" t="s">
        <v>2550</v>
      </c>
      <c r="E37" t="s">
        <v>56</v>
      </c>
      <c r="F37" t="s">
        <v>3</v>
      </c>
      <c r="G37" t="s">
        <v>2447</v>
      </c>
      <c r="H37" s="2">
        <v>1</v>
      </c>
      <c r="I37" t="s">
        <v>5</v>
      </c>
      <c r="J37" t="s">
        <v>6</v>
      </c>
      <c r="K37" s="3">
        <v>870</v>
      </c>
      <c r="L37" t="s">
        <v>2448</v>
      </c>
      <c r="M37" t="s">
        <v>2449</v>
      </c>
      <c r="N37" s="4">
        <v>45299</v>
      </c>
    </row>
    <row r="38" spans="1:14" hidden="1" x14ac:dyDescent="0.25">
      <c r="A38">
        <v>56587086</v>
      </c>
      <c r="B38" t="s">
        <v>2450</v>
      </c>
      <c r="C38" t="s">
        <v>582</v>
      </c>
      <c r="D38" t="s">
        <v>2550</v>
      </c>
      <c r="E38" t="s">
        <v>56</v>
      </c>
      <c r="F38" t="s">
        <v>3</v>
      </c>
      <c r="G38" t="s">
        <v>2451</v>
      </c>
      <c r="H38" s="2">
        <v>1</v>
      </c>
      <c r="I38" t="s">
        <v>5</v>
      </c>
      <c r="J38" t="s">
        <v>6</v>
      </c>
      <c r="K38" s="3">
        <v>2490</v>
      </c>
      <c r="L38" t="s">
        <v>2452</v>
      </c>
      <c r="M38" t="s">
        <v>2453</v>
      </c>
      <c r="N38" s="4">
        <v>45299</v>
      </c>
    </row>
    <row r="39" spans="1:14" hidden="1" x14ac:dyDescent="0.25">
      <c r="A39">
        <v>56587089</v>
      </c>
      <c r="B39" t="s">
        <v>2454</v>
      </c>
      <c r="C39" t="s">
        <v>582</v>
      </c>
      <c r="D39" t="s">
        <v>2550</v>
      </c>
      <c r="E39" t="s">
        <v>56</v>
      </c>
      <c r="F39" t="s">
        <v>3</v>
      </c>
      <c r="G39" t="s">
        <v>2443</v>
      </c>
      <c r="H39" s="2">
        <v>1</v>
      </c>
      <c r="I39" t="s">
        <v>5</v>
      </c>
      <c r="J39" t="s">
        <v>6</v>
      </c>
      <c r="K39" s="3">
        <v>510</v>
      </c>
      <c r="L39" t="s">
        <v>2444</v>
      </c>
      <c r="M39" t="s">
        <v>2455</v>
      </c>
      <c r="N39" s="4">
        <v>45299</v>
      </c>
    </row>
    <row r="40" spans="1:14" x14ac:dyDescent="0.25">
      <c r="A40">
        <v>56587099</v>
      </c>
      <c r="B40" t="s">
        <v>2456</v>
      </c>
      <c r="C40" t="s">
        <v>22</v>
      </c>
      <c r="D40" t="s">
        <v>2506</v>
      </c>
      <c r="E40" t="s">
        <v>41</v>
      </c>
      <c r="F40" t="s">
        <v>3</v>
      </c>
      <c r="G40" t="s">
        <v>2457</v>
      </c>
      <c r="H40" s="2">
        <v>1</v>
      </c>
      <c r="I40" t="s">
        <v>5</v>
      </c>
      <c r="J40" t="s">
        <v>6</v>
      </c>
      <c r="K40" s="3">
        <v>1000</v>
      </c>
      <c r="L40" t="s">
        <v>2458</v>
      </c>
      <c r="M40" t="s">
        <v>2459</v>
      </c>
      <c r="N40" s="4">
        <v>45299</v>
      </c>
    </row>
    <row r="41" spans="1:14" hidden="1" x14ac:dyDescent="0.25">
      <c r="A41">
        <v>56587100</v>
      </c>
      <c r="B41" t="s">
        <v>2460</v>
      </c>
      <c r="C41" t="s">
        <v>1546</v>
      </c>
      <c r="D41" t="s">
        <v>2519</v>
      </c>
      <c r="E41" t="s">
        <v>253</v>
      </c>
      <c r="F41" t="s">
        <v>3</v>
      </c>
      <c r="G41" t="s">
        <v>2461</v>
      </c>
      <c r="H41" s="2">
        <v>1</v>
      </c>
      <c r="I41" t="s">
        <v>32</v>
      </c>
      <c r="J41" t="s">
        <v>6</v>
      </c>
      <c r="K41" s="3">
        <v>1500</v>
      </c>
      <c r="L41" t="s">
        <v>22</v>
      </c>
      <c r="M41" t="s">
        <v>2462</v>
      </c>
      <c r="N41" s="4">
        <v>45300</v>
      </c>
    </row>
    <row r="42" spans="1:14" hidden="1" x14ac:dyDescent="0.25">
      <c r="A42">
        <v>56587109</v>
      </c>
      <c r="B42" t="s">
        <v>2463</v>
      </c>
      <c r="C42" t="s">
        <v>435</v>
      </c>
      <c r="D42" t="s">
        <v>2487</v>
      </c>
      <c r="E42" t="s">
        <v>51</v>
      </c>
      <c r="F42" t="s">
        <v>3</v>
      </c>
      <c r="G42" t="s">
        <v>2327</v>
      </c>
      <c r="H42" s="2">
        <v>1</v>
      </c>
      <c r="I42" t="s">
        <v>32</v>
      </c>
      <c r="J42" t="s">
        <v>25</v>
      </c>
      <c r="K42" s="3">
        <v>800</v>
      </c>
      <c r="L42" t="s">
        <v>22</v>
      </c>
      <c r="M42" t="s">
        <v>2464</v>
      </c>
      <c r="N42" s="4">
        <v>45300</v>
      </c>
    </row>
    <row r="43" spans="1:14" hidden="1" x14ac:dyDescent="0.25">
      <c r="A43">
        <v>56593527</v>
      </c>
      <c r="B43" t="s">
        <v>2903</v>
      </c>
      <c r="C43">
        <v>1086244</v>
      </c>
      <c r="D43" t="s">
        <v>2912</v>
      </c>
      <c r="E43" t="s">
        <v>51</v>
      </c>
      <c r="F43" t="s">
        <v>3</v>
      </c>
      <c r="G43" t="s">
        <v>2922</v>
      </c>
      <c r="H43" s="2">
        <v>1</v>
      </c>
      <c r="I43" t="s">
        <v>32</v>
      </c>
      <c r="J43" t="s">
        <v>25</v>
      </c>
      <c r="N43" s="6">
        <v>45300</v>
      </c>
    </row>
    <row r="44" spans="1:14" hidden="1" x14ac:dyDescent="0.25">
      <c r="A44">
        <v>56593528</v>
      </c>
      <c r="B44" t="s">
        <v>2904</v>
      </c>
      <c r="C44">
        <v>1005739</v>
      </c>
      <c r="D44" t="s">
        <v>2553</v>
      </c>
      <c r="E44" t="s">
        <v>1582</v>
      </c>
      <c r="F44" t="s">
        <v>3</v>
      </c>
      <c r="G44" t="s">
        <v>2923</v>
      </c>
      <c r="H44" s="2">
        <v>1</v>
      </c>
      <c r="I44" t="s">
        <v>5</v>
      </c>
      <c r="J44" t="s">
        <v>25</v>
      </c>
      <c r="N44" s="6">
        <v>45300</v>
      </c>
    </row>
    <row r="45" spans="1:14" hidden="1" x14ac:dyDescent="0.25">
      <c r="A45">
        <v>56593529</v>
      </c>
      <c r="B45" t="s">
        <v>2905</v>
      </c>
      <c r="C45">
        <v>1005739</v>
      </c>
      <c r="D45" t="s">
        <v>2553</v>
      </c>
      <c r="E45" t="s">
        <v>1582</v>
      </c>
      <c r="F45" t="s">
        <v>3</v>
      </c>
      <c r="G45" t="s">
        <v>2924</v>
      </c>
      <c r="H45" s="2">
        <v>1</v>
      </c>
      <c r="I45" t="s">
        <v>5</v>
      </c>
      <c r="J45" t="s">
        <v>25</v>
      </c>
      <c r="N45" s="6">
        <v>45300</v>
      </c>
    </row>
    <row r="46" spans="1:14" hidden="1" x14ac:dyDescent="0.25">
      <c r="A46">
        <v>56593530</v>
      </c>
      <c r="B46" t="s">
        <v>2906</v>
      </c>
      <c r="C46">
        <v>1090240</v>
      </c>
      <c r="D46" t="s">
        <v>2499</v>
      </c>
      <c r="E46" t="s">
        <v>289</v>
      </c>
      <c r="F46" t="s">
        <v>3</v>
      </c>
      <c r="G46" t="s">
        <v>2925</v>
      </c>
      <c r="H46" s="2">
        <v>1</v>
      </c>
      <c r="I46" t="s">
        <v>32</v>
      </c>
      <c r="J46" t="s">
        <v>25</v>
      </c>
      <c r="N46" s="6">
        <v>45300</v>
      </c>
    </row>
    <row r="47" spans="1:14" hidden="1" x14ac:dyDescent="0.25">
      <c r="A47">
        <v>56593531</v>
      </c>
      <c r="B47" t="s">
        <v>2907</v>
      </c>
      <c r="C47">
        <v>1085629</v>
      </c>
      <c r="D47" t="s">
        <v>2499</v>
      </c>
      <c r="E47" t="s">
        <v>289</v>
      </c>
      <c r="F47" t="s">
        <v>3</v>
      </c>
      <c r="G47" t="s">
        <v>2926</v>
      </c>
      <c r="H47" s="2">
        <v>1</v>
      </c>
      <c r="I47" t="s">
        <v>32</v>
      </c>
      <c r="J47" t="s">
        <v>6</v>
      </c>
      <c r="N47" s="6">
        <v>45300</v>
      </c>
    </row>
    <row r="48" spans="1:14" hidden="1" x14ac:dyDescent="0.25">
      <c r="A48">
        <v>56593532</v>
      </c>
      <c r="B48" t="s">
        <v>2908</v>
      </c>
      <c r="C48">
        <v>1070381</v>
      </c>
      <c r="D48" t="s">
        <v>2555</v>
      </c>
      <c r="E48" t="s">
        <v>2179</v>
      </c>
      <c r="F48" t="s">
        <v>3</v>
      </c>
      <c r="G48" t="s">
        <v>2927</v>
      </c>
      <c r="H48" s="2">
        <v>1</v>
      </c>
      <c r="I48" t="s">
        <v>5</v>
      </c>
      <c r="J48" t="s">
        <v>6</v>
      </c>
      <c r="N48" s="6">
        <v>45300</v>
      </c>
    </row>
    <row r="49" spans="1:14" hidden="1" x14ac:dyDescent="0.25">
      <c r="A49">
        <v>56593533</v>
      </c>
      <c r="B49" t="s">
        <v>2909</v>
      </c>
      <c r="C49">
        <v>1073982</v>
      </c>
      <c r="D49" t="s">
        <v>2534</v>
      </c>
      <c r="E49" t="s">
        <v>1158</v>
      </c>
      <c r="F49" t="s">
        <v>3</v>
      </c>
      <c r="G49" t="s">
        <v>2928</v>
      </c>
      <c r="H49" s="2">
        <v>1</v>
      </c>
      <c r="I49" t="s">
        <v>32</v>
      </c>
      <c r="J49" t="s">
        <v>6</v>
      </c>
      <c r="N49" s="6">
        <v>45300</v>
      </c>
    </row>
    <row r="50" spans="1:14" hidden="1" x14ac:dyDescent="0.25">
      <c r="A50">
        <v>56593534</v>
      </c>
      <c r="B50" t="s">
        <v>2910</v>
      </c>
      <c r="C50">
        <v>1088543</v>
      </c>
      <c r="D50" t="s">
        <v>2541</v>
      </c>
      <c r="E50" t="s">
        <v>210</v>
      </c>
      <c r="F50" t="s">
        <v>3</v>
      </c>
      <c r="G50" t="s">
        <v>2929</v>
      </c>
      <c r="H50" s="2">
        <v>1</v>
      </c>
      <c r="I50" t="s">
        <v>32</v>
      </c>
      <c r="J50" t="s">
        <v>6</v>
      </c>
      <c r="N50" s="6">
        <v>45300</v>
      </c>
    </row>
    <row r="51" spans="1:14" hidden="1" x14ac:dyDescent="0.25">
      <c r="A51">
        <v>56593535</v>
      </c>
      <c r="B51" t="s">
        <v>2911</v>
      </c>
      <c r="C51">
        <v>1080233</v>
      </c>
      <c r="D51" t="s">
        <v>2483</v>
      </c>
      <c r="E51" t="s">
        <v>51</v>
      </c>
      <c r="F51" t="s">
        <v>3</v>
      </c>
      <c r="G51" t="s">
        <v>2930</v>
      </c>
      <c r="H51" s="2">
        <v>1400</v>
      </c>
      <c r="I51" t="s">
        <v>13</v>
      </c>
      <c r="J51" t="s">
        <v>6</v>
      </c>
      <c r="N51" s="6">
        <v>45300</v>
      </c>
    </row>
    <row r="54" spans="1:14" x14ac:dyDescent="0.25">
      <c r="C54" s="17">
        <v>56638530</v>
      </c>
      <c r="D54" s="18" t="s">
        <v>3168</v>
      </c>
      <c r="E54" s="17">
        <v>1008668</v>
      </c>
      <c r="F54" s="17">
        <v>390</v>
      </c>
      <c r="G54" s="17" t="s">
        <v>2554</v>
      </c>
    </row>
  </sheetData>
  <autoFilter ref="A1:N51" xr:uid="{00000000-0001-0000-0000-000000000000}">
    <filterColumn colId="2">
      <filters blank="1"/>
    </filterColumn>
  </autoFilter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2E43A-CB24-42FB-AF20-09E403D7FD04}">
  <sheetPr codeName="Sheet7"/>
  <dimension ref="A1:A243"/>
  <sheetViews>
    <sheetView workbookViewId="0">
      <selection sqref="A1:A1048576"/>
    </sheetView>
  </sheetViews>
  <sheetFormatPr defaultRowHeight="12.5" x14ac:dyDescent="0.25"/>
  <cols>
    <col min="1" max="1" width="34.7265625" bestFit="1" customWidth="1"/>
  </cols>
  <sheetData>
    <row r="1" spans="1:1" x14ac:dyDescent="0.2">
      <c r="A1" s="12" t="s">
        <v>2932</v>
      </c>
    </row>
    <row r="2" spans="1:1" x14ac:dyDescent="0.2">
      <c r="A2" s="12" t="s">
        <v>2933</v>
      </c>
    </row>
    <row r="3" spans="1:1" x14ac:dyDescent="0.2">
      <c r="A3" s="12" t="s">
        <v>2934</v>
      </c>
    </row>
    <row r="4" spans="1:1" x14ac:dyDescent="0.2">
      <c r="A4" s="12" t="s">
        <v>2719</v>
      </c>
    </row>
    <row r="5" spans="1:1" x14ac:dyDescent="0.2">
      <c r="A5" s="12" t="s">
        <v>2935</v>
      </c>
    </row>
    <row r="6" spans="1:1" x14ac:dyDescent="0.2">
      <c r="A6" s="12" t="s">
        <v>2936</v>
      </c>
    </row>
    <row r="7" spans="1:1" x14ac:dyDescent="0.2">
      <c r="A7" s="12" t="s">
        <v>2937</v>
      </c>
    </row>
    <row r="8" spans="1:1" x14ac:dyDescent="0.2">
      <c r="A8" s="12" t="s">
        <v>2938</v>
      </c>
    </row>
    <row r="9" spans="1:1" x14ac:dyDescent="0.2">
      <c r="A9" s="12" t="s">
        <v>2939</v>
      </c>
    </row>
    <row r="10" spans="1:1" x14ac:dyDescent="0.2">
      <c r="A10" s="12" t="s">
        <v>2940</v>
      </c>
    </row>
    <row r="11" spans="1:1" x14ac:dyDescent="0.2">
      <c r="A11" s="12" t="s">
        <v>2941</v>
      </c>
    </row>
    <row r="12" spans="1:1" x14ac:dyDescent="0.2">
      <c r="A12" s="12" t="s">
        <v>2942</v>
      </c>
    </row>
    <row r="13" spans="1:1" x14ac:dyDescent="0.2">
      <c r="A13" s="12" t="s">
        <v>2943</v>
      </c>
    </row>
    <row r="14" spans="1:1" x14ac:dyDescent="0.2">
      <c r="A14" s="12" t="s">
        <v>2663</v>
      </c>
    </row>
    <row r="15" spans="1:1" x14ac:dyDescent="0.2">
      <c r="A15" s="12" t="s">
        <v>2787</v>
      </c>
    </row>
    <row r="16" spans="1:1" x14ac:dyDescent="0.2">
      <c r="A16" s="12" t="s">
        <v>2944</v>
      </c>
    </row>
    <row r="17" spans="1:1" x14ac:dyDescent="0.2">
      <c r="A17" s="12" t="s">
        <v>2945</v>
      </c>
    </row>
    <row r="18" spans="1:1" x14ac:dyDescent="0.2">
      <c r="A18" s="12" t="s">
        <v>2833</v>
      </c>
    </row>
    <row r="19" spans="1:1" x14ac:dyDescent="0.2">
      <c r="A19" s="12" t="s">
        <v>2946</v>
      </c>
    </row>
    <row r="20" spans="1:1" x14ac:dyDescent="0.2">
      <c r="A20" s="12" t="s">
        <v>2947</v>
      </c>
    </row>
    <row r="21" spans="1:1" x14ac:dyDescent="0.2">
      <c r="A21" s="12" t="s">
        <v>2729</v>
      </c>
    </row>
    <row r="22" spans="1:1" x14ac:dyDescent="0.2">
      <c r="A22" s="12" t="s">
        <v>2948</v>
      </c>
    </row>
    <row r="23" spans="1:1" x14ac:dyDescent="0.2">
      <c r="A23" s="12" t="s">
        <v>2949</v>
      </c>
    </row>
    <row r="24" spans="1:1" x14ac:dyDescent="0.2">
      <c r="A24" s="12" t="s">
        <v>2842</v>
      </c>
    </row>
    <row r="25" spans="1:1" x14ac:dyDescent="0.2">
      <c r="A25" s="12" t="s">
        <v>2747</v>
      </c>
    </row>
    <row r="26" spans="1:1" x14ac:dyDescent="0.2">
      <c r="A26" s="12" t="s">
        <v>2759</v>
      </c>
    </row>
    <row r="27" spans="1:1" x14ac:dyDescent="0.2">
      <c r="A27" s="12" t="s">
        <v>2950</v>
      </c>
    </row>
    <row r="28" spans="1:1" x14ac:dyDescent="0.2">
      <c r="A28" s="12" t="s">
        <v>2733</v>
      </c>
    </row>
    <row r="29" spans="1:1" x14ac:dyDescent="0.2">
      <c r="A29" s="12" t="s">
        <v>2951</v>
      </c>
    </row>
    <row r="30" spans="1:1" x14ac:dyDescent="0.2">
      <c r="A30" s="12" t="s">
        <v>2952</v>
      </c>
    </row>
    <row r="31" spans="1:1" x14ac:dyDescent="0.2">
      <c r="A31" s="12" t="s">
        <v>2953</v>
      </c>
    </row>
    <row r="32" spans="1:1" x14ac:dyDescent="0.2">
      <c r="A32" s="12" t="s">
        <v>2954</v>
      </c>
    </row>
    <row r="33" spans="1:1" x14ac:dyDescent="0.2">
      <c r="A33" s="12" t="s">
        <v>2661</v>
      </c>
    </row>
    <row r="34" spans="1:1" x14ac:dyDescent="0.2">
      <c r="A34" s="12" t="s">
        <v>2757</v>
      </c>
    </row>
    <row r="35" spans="1:1" x14ac:dyDescent="0.2">
      <c r="A35" s="12" t="s">
        <v>2955</v>
      </c>
    </row>
    <row r="36" spans="1:1" x14ac:dyDescent="0.2">
      <c r="A36" s="12" t="s">
        <v>2956</v>
      </c>
    </row>
    <row r="37" spans="1:1" x14ac:dyDescent="0.2">
      <c r="A37" s="12" t="s">
        <v>2957</v>
      </c>
    </row>
    <row r="38" spans="1:1" x14ac:dyDescent="0.2">
      <c r="A38" s="12" t="s">
        <v>2958</v>
      </c>
    </row>
    <row r="39" spans="1:1" x14ac:dyDescent="0.2">
      <c r="A39" s="12" t="s">
        <v>2959</v>
      </c>
    </row>
    <row r="40" spans="1:1" x14ac:dyDescent="0.2">
      <c r="A40" s="12" t="s">
        <v>2960</v>
      </c>
    </row>
    <row r="41" spans="1:1" x14ac:dyDescent="0.2">
      <c r="A41" s="12" t="s">
        <v>2961</v>
      </c>
    </row>
    <row r="42" spans="1:1" x14ac:dyDescent="0.2">
      <c r="A42" s="12" t="s">
        <v>2962</v>
      </c>
    </row>
    <row r="43" spans="1:1" x14ac:dyDescent="0.2">
      <c r="A43" s="12" t="s">
        <v>2963</v>
      </c>
    </row>
    <row r="44" spans="1:1" x14ac:dyDescent="0.2">
      <c r="A44" s="12" t="s">
        <v>2763</v>
      </c>
    </row>
    <row r="45" spans="1:1" x14ac:dyDescent="0.2">
      <c r="A45" s="12" t="s">
        <v>2964</v>
      </c>
    </row>
    <row r="46" spans="1:1" x14ac:dyDescent="0.2">
      <c r="A46" s="12" t="s">
        <v>2965</v>
      </c>
    </row>
    <row r="47" spans="1:1" x14ac:dyDescent="0.2">
      <c r="A47" s="12" t="s">
        <v>2966</v>
      </c>
    </row>
    <row r="48" spans="1:1" x14ac:dyDescent="0.2">
      <c r="A48" s="12" t="s">
        <v>2967</v>
      </c>
    </row>
    <row r="49" spans="1:1" x14ac:dyDescent="0.2">
      <c r="A49" s="12" t="s">
        <v>2968</v>
      </c>
    </row>
    <row r="50" spans="1:1" x14ac:dyDescent="0.2">
      <c r="A50" s="12" t="s">
        <v>2804</v>
      </c>
    </row>
    <row r="51" spans="1:1" x14ac:dyDescent="0.2">
      <c r="A51" s="12" t="s">
        <v>2969</v>
      </c>
    </row>
    <row r="52" spans="1:1" x14ac:dyDescent="0.2">
      <c r="A52" s="12" t="s">
        <v>2846</v>
      </c>
    </row>
    <row r="53" spans="1:1" x14ac:dyDescent="0.2">
      <c r="A53" s="12" t="s">
        <v>2970</v>
      </c>
    </row>
    <row r="54" spans="1:1" x14ac:dyDescent="0.2">
      <c r="A54" s="12" t="s">
        <v>2831</v>
      </c>
    </row>
    <row r="55" spans="1:1" x14ac:dyDescent="0.2">
      <c r="A55" s="12" t="s">
        <v>2971</v>
      </c>
    </row>
    <row r="56" spans="1:1" x14ac:dyDescent="0.2">
      <c r="A56" s="12" t="s">
        <v>2972</v>
      </c>
    </row>
    <row r="57" spans="1:1" x14ac:dyDescent="0.2">
      <c r="A57" s="12" t="s">
        <v>2973</v>
      </c>
    </row>
    <row r="58" spans="1:1" x14ac:dyDescent="0.2">
      <c r="A58" s="12" t="s">
        <v>2974</v>
      </c>
    </row>
    <row r="59" spans="1:1" x14ac:dyDescent="0.2">
      <c r="A59" s="12" t="s">
        <v>2975</v>
      </c>
    </row>
    <row r="60" spans="1:1" x14ac:dyDescent="0.2">
      <c r="A60" s="12" t="s">
        <v>2976</v>
      </c>
    </row>
    <row r="61" spans="1:1" x14ac:dyDescent="0.2">
      <c r="A61" s="12" t="s">
        <v>2977</v>
      </c>
    </row>
    <row r="62" spans="1:1" x14ac:dyDescent="0.2">
      <c r="A62" s="12" t="s">
        <v>2978</v>
      </c>
    </row>
    <row r="63" spans="1:1" x14ac:dyDescent="0.2">
      <c r="A63" s="12" t="s">
        <v>2979</v>
      </c>
    </row>
    <row r="64" spans="1:1" x14ac:dyDescent="0.2">
      <c r="A64" s="12" t="s">
        <v>2980</v>
      </c>
    </row>
    <row r="65" spans="1:1" x14ac:dyDescent="0.2">
      <c r="A65" s="12" t="s">
        <v>2981</v>
      </c>
    </row>
    <row r="66" spans="1:1" x14ac:dyDescent="0.2">
      <c r="A66" s="12" t="s">
        <v>2982</v>
      </c>
    </row>
    <row r="67" spans="1:1" x14ac:dyDescent="0.2">
      <c r="A67" s="12" t="s">
        <v>2983</v>
      </c>
    </row>
    <row r="68" spans="1:1" x14ac:dyDescent="0.2">
      <c r="A68" s="12" t="s">
        <v>2984</v>
      </c>
    </row>
    <row r="69" spans="1:1" x14ac:dyDescent="0.2">
      <c r="A69" s="12" t="s">
        <v>2985</v>
      </c>
    </row>
    <row r="70" spans="1:1" x14ac:dyDescent="0.2">
      <c r="A70" s="12" t="s">
        <v>2986</v>
      </c>
    </row>
    <row r="71" spans="1:1" x14ac:dyDescent="0.2">
      <c r="A71" s="12" t="s">
        <v>2987</v>
      </c>
    </row>
    <row r="72" spans="1:1" x14ac:dyDescent="0.2">
      <c r="A72" s="12" t="s">
        <v>2988</v>
      </c>
    </row>
    <row r="73" spans="1:1" x14ac:dyDescent="0.2">
      <c r="A73" s="12" t="s">
        <v>2989</v>
      </c>
    </row>
    <row r="74" spans="1:1" x14ac:dyDescent="0.2">
      <c r="A74" s="12" t="s">
        <v>2990</v>
      </c>
    </row>
    <row r="75" spans="1:1" x14ac:dyDescent="0.2">
      <c r="A75" s="12" t="s">
        <v>2991</v>
      </c>
    </row>
    <row r="76" spans="1:1" x14ac:dyDescent="0.2">
      <c r="A76" s="12" t="s">
        <v>2992</v>
      </c>
    </row>
    <row r="77" spans="1:1" x14ac:dyDescent="0.2">
      <c r="A77" s="12" t="s">
        <v>2993</v>
      </c>
    </row>
    <row r="78" spans="1:1" x14ac:dyDescent="0.2">
      <c r="A78" s="12" t="s">
        <v>2994</v>
      </c>
    </row>
    <row r="79" spans="1:1" x14ac:dyDescent="0.2">
      <c r="A79" s="12" t="s">
        <v>2664</v>
      </c>
    </row>
    <row r="80" spans="1:1" x14ac:dyDescent="0.2">
      <c r="A80" s="12" t="s">
        <v>2682</v>
      </c>
    </row>
    <row r="81" spans="1:1" x14ac:dyDescent="0.2">
      <c r="A81" s="12" t="s">
        <v>2995</v>
      </c>
    </row>
    <row r="82" spans="1:1" x14ac:dyDescent="0.2">
      <c r="A82" s="12" t="s">
        <v>2996</v>
      </c>
    </row>
    <row r="83" spans="1:1" x14ac:dyDescent="0.2">
      <c r="A83" s="12" t="s">
        <v>2997</v>
      </c>
    </row>
    <row r="84" spans="1:1" x14ac:dyDescent="0.2">
      <c r="A84" s="12" t="s">
        <v>2709</v>
      </c>
    </row>
    <row r="85" spans="1:1" x14ac:dyDescent="0.2">
      <c r="A85" s="12" t="s">
        <v>2998</v>
      </c>
    </row>
    <row r="86" spans="1:1" x14ac:dyDescent="0.2">
      <c r="A86" s="12" t="s">
        <v>2999</v>
      </c>
    </row>
    <row r="87" spans="1:1" x14ac:dyDescent="0.2">
      <c r="A87" s="12" t="s">
        <v>2871</v>
      </c>
    </row>
    <row r="88" spans="1:1" x14ac:dyDescent="0.2">
      <c r="A88" s="12" t="s">
        <v>3000</v>
      </c>
    </row>
    <row r="89" spans="1:1" x14ac:dyDescent="0.2">
      <c r="A89" s="12" t="s">
        <v>3001</v>
      </c>
    </row>
    <row r="90" spans="1:1" x14ac:dyDescent="0.2">
      <c r="A90" s="12" t="s">
        <v>3002</v>
      </c>
    </row>
    <row r="91" spans="1:1" x14ac:dyDescent="0.2">
      <c r="A91" s="12" t="s">
        <v>3003</v>
      </c>
    </row>
    <row r="92" spans="1:1" x14ac:dyDescent="0.2">
      <c r="A92" s="12" t="s">
        <v>3004</v>
      </c>
    </row>
    <row r="93" spans="1:1" x14ac:dyDescent="0.2">
      <c r="A93" s="12" t="s">
        <v>3005</v>
      </c>
    </row>
    <row r="94" spans="1:1" x14ac:dyDescent="0.2">
      <c r="A94" s="12" t="s">
        <v>3006</v>
      </c>
    </row>
    <row r="95" spans="1:1" x14ac:dyDescent="0.2">
      <c r="A95" s="12" t="s">
        <v>3007</v>
      </c>
    </row>
    <row r="96" spans="1:1" x14ac:dyDescent="0.2">
      <c r="A96" s="12" t="s">
        <v>3008</v>
      </c>
    </row>
    <row r="97" spans="1:1" x14ac:dyDescent="0.2">
      <c r="A97" s="12" t="s">
        <v>3009</v>
      </c>
    </row>
    <row r="98" spans="1:1" x14ac:dyDescent="0.2">
      <c r="A98" s="12" t="s">
        <v>3010</v>
      </c>
    </row>
    <row r="99" spans="1:1" x14ac:dyDescent="0.2">
      <c r="A99" s="12" t="s">
        <v>2684</v>
      </c>
    </row>
    <row r="100" spans="1:1" x14ac:dyDescent="0.2">
      <c r="A100" s="12" t="s">
        <v>3011</v>
      </c>
    </row>
    <row r="101" spans="1:1" x14ac:dyDescent="0.2">
      <c r="A101" s="12" t="s">
        <v>3012</v>
      </c>
    </row>
    <row r="102" spans="1:1" x14ac:dyDescent="0.2">
      <c r="A102" s="12" t="s">
        <v>3013</v>
      </c>
    </row>
    <row r="103" spans="1:1" x14ac:dyDescent="0.2">
      <c r="A103" s="12" t="s">
        <v>3014</v>
      </c>
    </row>
    <row r="104" spans="1:1" x14ac:dyDescent="0.2">
      <c r="A104" s="12" t="s">
        <v>3015</v>
      </c>
    </row>
    <row r="105" spans="1:1" x14ac:dyDescent="0.2">
      <c r="A105" s="12" t="s">
        <v>3016</v>
      </c>
    </row>
    <row r="106" spans="1:1" x14ac:dyDescent="0.2">
      <c r="A106" s="12" t="s">
        <v>3017</v>
      </c>
    </row>
    <row r="107" spans="1:1" x14ac:dyDescent="0.2">
      <c r="A107" s="12" t="s">
        <v>3018</v>
      </c>
    </row>
    <row r="108" spans="1:1" x14ac:dyDescent="0.2">
      <c r="A108" s="12" t="s">
        <v>3019</v>
      </c>
    </row>
    <row r="109" spans="1:1" x14ac:dyDescent="0.2">
      <c r="A109" s="12" t="s">
        <v>3020</v>
      </c>
    </row>
    <row r="110" spans="1:1" x14ac:dyDescent="0.2">
      <c r="A110" s="12" t="s">
        <v>3021</v>
      </c>
    </row>
    <row r="111" spans="1:1" x14ac:dyDescent="0.2">
      <c r="A111" s="12" t="s">
        <v>2855</v>
      </c>
    </row>
    <row r="112" spans="1:1" x14ac:dyDescent="0.2">
      <c r="A112" s="12" t="s">
        <v>3022</v>
      </c>
    </row>
    <row r="113" spans="1:1" x14ac:dyDescent="0.2">
      <c r="A113" s="12" t="s">
        <v>3023</v>
      </c>
    </row>
    <row r="114" spans="1:1" x14ac:dyDescent="0.2">
      <c r="A114" s="12" t="s">
        <v>3024</v>
      </c>
    </row>
    <row r="115" spans="1:1" x14ac:dyDescent="0.2">
      <c r="A115" s="12" t="s">
        <v>3025</v>
      </c>
    </row>
    <row r="116" spans="1:1" x14ac:dyDescent="0.2">
      <c r="A116" s="12" t="s">
        <v>2724</v>
      </c>
    </row>
    <row r="117" spans="1:1" x14ac:dyDescent="0.2">
      <c r="A117" s="12" t="s">
        <v>3026</v>
      </c>
    </row>
    <row r="118" spans="1:1" x14ac:dyDescent="0.2">
      <c r="A118" s="12" t="s">
        <v>3027</v>
      </c>
    </row>
    <row r="119" spans="1:1" x14ac:dyDescent="0.2">
      <c r="A119" s="12" t="s">
        <v>3028</v>
      </c>
    </row>
    <row r="120" spans="1:1" x14ac:dyDescent="0.2">
      <c r="A120" s="12" t="s">
        <v>3029</v>
      </c>
    </row>
    <row r="121" spans="1:1" x14ac:dyDescent="0.2">
      <c r="A121" s="12" t="s">
        <v>3030</v>
      </c>
    </row>
    <row r="122" spans="1:1" x14ac:dyDescent="0.2">
      <c r="A122" s="12" t="s">
        <v>3031</v>
      </c>
    </row>
    <row r="123" spans="1:1" x14ac:dyDescent="0.2">
      <c r="A123" s="12" t="s">
        <v>3032</v>
      </c>
    </row>
    <row r="124" spans="1:1" x14ac:dyDescent="0.2">
      <c r="A124" s="12" t="s">
        <v>3033</v>
      </c>
    </row>
    <row r="125" spans="1:1" x14ac:dyDescent="0.2">
      <c r="A125" s="12" t="s">
        <v>3034</v>
      </c>
    </row>
    <row r="126" spans="1:1" x14ac:dyDescent="0.2">
      <c r="A126" s="12" t="s">
        <v>3035</v>
      </c>
    </row>
    <row r="127" spans="1:1" x14ac:dyDescent="0.2">
      <c r="A127" s="12" t="s">
        <v>3036</v>
      </c>
    </row>
    <row r="128" spans="1:1" x14ac:dyDescent="0.2">
      <c r="A128" s="12" t="s">
        <v>3037</v>
      </c>
    </row>
    <row r="129" spans="1:1" x14ac:dyDescent="0.2">
      <c r="A129" s="12" t="s">
        <v>3038</v>
      </c>
    </row>
    <row r="130" spans="1:1" x14ac:dyDescent="0.2">
      <c r="A130" s="12" t="s">
        <v>3039</v>
      </c>
    </row>
    <row r="131" spans="1:1" x14ac:dyDescent="0.2">
      <c r="A131" s="12" t="s">
        <v>3040</v>
      </c>
    </row>
    <row r="132" spans="1:1" x14ac:dyDescent="0.2">
      <c r="A132" s="12" t="s">
        <v>3041</v>
      </c>
    </row>
    <row r="133" spans="1:1" x14ac:dyDescent="0.2">
      <c r="A133" s="12" t="s">
        <v>3042</v>
      </c>
    </row>
    <row r="134" spans="1:1" x14ac:dyDescent="0.2">
      <c r="A134" s="12" t="s">
        <v>3043</v>
      </c>
    </row>
    <row r="135" spans="1:1" x14ac:dyDescent="0.2">
      <c r="A135" s="12" t="s">
        <v>3044</v>
      </c>
    </row>
    <row r="136" spans="1:1" x14ac:dyDescent="0.2">
      <c r="A136" s="12" t="s">
        <v>2713</v>
      </c>
    </row>
    <row r="137" spans="1:1" x14ac:dyDescent="0.2">
      <c r="A137" s="12" t="s">
        <v>3045</v>
      </c>
    </row>
    <row r="138" spans="1:1" x14ac:dyDescent="0.2">
      <c r="A138" s="12" t="s">
        <v>3046</v>
      </c>
    </row>
    <row r="139" spans="1:1" x14ac:dyDescent="0.2">
      <c r="A139" s="12" t="s">
        <v>3047</v>
      </c>
    </row>
    <row r="140" spans="1:1" x14ac:dyDescent="0.2">
      <c r="A140" s="12" t="s">
        <v>3048</v>
      </c>
    </row>
    <row r="141" spans="1:1" x14ac:dyDescent="0.2">
      <c r="A141" s="12" t="s">
        <v>3049</v>
      </c>
    </row>
    <row r="142" spans="1:1" x14ac:dyDescent="0.2">
      <c r="A142" s="12" t="s">
        <v>3050</v>
      </c>
    </row>
    <row r="143" spans="1:1" x14ac:dyDescent="0.2">
      <c r="A143" s="12" t="s">
        <v>3051</v>
      </c>
    </row>
    <row r="144" spans="1:1" x14ac:dyDescent="0.2">
      <c r="A144" s="12" t="s">
        <v>3052</v>
      </c>
    </row>
    <row r="145" spans="1:1" x14ac:dyDescent="0.2">
      <c r="A145" s="12" t="s">
        <v>3053</v>
      </c>
    </row>
    <row r="146" spans="1:1" x14ac:dyDescent="0.2">
      <c r="A146" s="12" t="s">
        <v>3054</v>
      </c>
    </row>
    <row r="147" spans="1:1" x14ac:dyDescent="0.2">
      <c r="A147" s="12" t="s">
        <v>3055</v>
      </c>
    </row>
    <row r="148" spans="1:1" x14ac:dyDescent="0.2">
      <c r="A148" s="12" t="s">
        <v>3056</v>
      </c>
    </row>
    <row r="149" spans="1:1" x14ac:dyDescent="0.2">
      <c r="A149" s="12" t="s">
        <v>3057</v>
      </c>
    </row>
    <row r="150" spans="1:1" x14ac:dyDescent="0.2">
      <c r="A150" s="12" t="s">
        <v>3058</v>
      </c>
    </row>
    <row r="151" spans="1:1" x14ac:dyDescent="0.2">
      <c r="A151" s="12" t="s">
        <v>3059</v>
      </c>
    </row>
    <row r="152" spans="1:1" x14ac:dyDescent="0.2">
      <c r="A152" s="12" t="s">
        <v>3060</v>
      </c>
    </row>
    <row r="153" spans="1:1" x14ac:dyDescent="0.2">
      <c r="A153" s="12" t="s">
        <v>3061</v>
      </c>
    </row>
    <row r="154" spans="1:1" x14ac:dyDescent="0.2">
      <c r="A154" s="12" t="s">
        <v>3062</v>
      </c>
    </row>
    <row r="155" spans="1:1" x14ac:dyDescent="0.2">
      <c r="A155" s="12" t="s">
        <v>3063</v>
      </c>
    </row>
    <row r="156" spans="1:1" x14ac:dyDescent="0.2">
      <c r="A156" s="12" t="s">
        <v>3064</v>
      </c>
    </row>
    <row r="157" spans="1:1" x14ac:dyDescent="0.2">
      <c r="A157" s="12" t="s">
        <v>3065</v>
      </c>
    </row>
    <row r="158" spans="1:1" x14ac:dyDescent="0.2">
      <c r="A158" s="12" t="s">
        <v>3066</v>
      </c>
    </row>
    <row r="159" spans="1:1" x14ac:dyDescent="0.2">
      <c r="A159" s="12" t="s">
        <v>3067</v>
      </c>
    </row>
    <row r="160" spans="1:1" x14ac:dyDescent="0.2">
      <c r="A160" s="12" t="s">
        <v>3068</v>
      </c>
    </row>
    <row r="161" spans="1:1" x14ac:dyDescent="0.2">
      <c r="A161" s="12" t="s">
        <v>3069</v>
      </c>
    </row>
    <row r="162" spans="1:1" x14ac:dyDescent="0.2">
      <c r="A162" s="12" t="s">
        <v>3070</v>
      </c>
    </row>
    <row r="163" spans="1:1" x14ac:dyDescent="0.2">
      <c r="A163" s="12" t="s">
        <v>3071</v>
      </c>
    </row>
    <row r="164" spans="1:1" x14ac:dyDescent="0.2">
      <c r="A164" s="12" t="s">
        <v>3072</v>
      </c>
    </row>
    <row r="165" spans="1:1" x14ac:dyDescent="0.2">
      <c r="A165" s="12" t="s">
        <v>3073</v>
      </c>
    </row>
    <row r="166" spans="1:1" x14ac:dyDescent="0.2">
      <c r="A166" s="12" t="s">
        <v>3074</v>
      </c>
    </row>
    <row r="167" spans="1:1" x14ac:dyDescent="0.2">
      <c r="A167" s="12" t="s">
        <v>3075</v>
      </c>
    </row>
    <row r="168" spans="1:1" x14ac:dyDescent="0.2">
      <c r="A168" s="12" t="s">
        <v>3076</v>
      </c>
    </row>
    <row r="169" spans="1:1" x14ac:dyDescent="0.2">
      <c r="A169" s="12" t="s">
        <v>3077</v>
      </c>
    </row>
    <row r="170" spans="1:1" x14ac:dyDescent="0.2">
      <c r="A170" s="12" t="s">
        <v>3078</v>
      </c>
    </row>
    <row r="171" spans="1:1" x14ac:dyDescent="0.2">
      <c r="A171" s="12" t="s">
        <v>3079</v>
      </c>
    </row>
    <row r="172" spans="1:1" x14ac:dyDescent="0.2">
      <c r="A172" s="12" t="s">
        <v>3080</v>
      </c>
    </row>
    <row r="173" spans="1:1" x14ac:dyDescent="0.2">
      <c r="A173" s="12" t="s">
        <v>3081</v>
      </c>
    </row>
    <row r="174" spans="1:1" x14ac:dyDescent="0.2">
      <c r="A174" s="12" t="s">
        <v>3082</v>
      </c>
    </row>
    <row r="175" spans="1:1" x14ac:dyDescent="0.2">
      <c r="A175" s="12" t="s">
        <v>3083</v>
      </c>
    </row>
    <row r="176" spans="1:1" x14ac:dyDescent="0.2">
      <c r="A176" s="12" t="s">
        <v>3084</v>
      </c>
    </row>
    <row r="177" spans="1:1" x14ac:dyDescent="0.2">
      <c r="A177" s="12" t="s">
        <v>3085</v>
      </c>
    </row>
    <row r="178" spans="1:1" x14ac:dyDescent="0.2">
      <c r="A178" s="12" t="s">
        <v>3086</v>
      </c>
    </row>
    <row r="179" spans="1:1" x14ac:dyDescent="0.2">
      <c r="A179" s="12" t="s">
        <v>3087</v>
      </c>
    </row>
    <row r="180" spans="1:1" x14ac:dyDescent="0.2">
      <c r="A180" s="12" t="s">
        <v>3088</v>
      </c>
    </row>
    <row r="181" spans="1:1" x14ac:dyDescent="0.2">
      <c r="A181" s="12" t="s">
        <v>3089</v>
      </c>
    </row>
    <row r="182" spans="1:1" x14ac:dyDescent="0.2">
      <c r="A182" s="12" t="s">
        <v>3090</v>
      </c>
    </row>
    <row r="183" spans="1:1" x14ac:dyDescent="0.2">
      <c r="A183" s="12" t="s">
        <v>3091</v>
      </c>
    </row>
    <row r="184" spans="1:1" x14ac:dyDescent="0.2">
      <c r="A184" s="12" t="s">
        <v>3092</v>
      </c>
    </row>
    <row r="185" spans="1:1" x14ac:dyDescent="0.2">
      <c r="A185" s="12" t="s">
        <v>3093</v>
      </c>
    </row>
    <row r="186" spans="1:1" x14ac:dyDescent="0.2">
      <c r="A186" s="12" t="s">
        <v>3094</v>
      </c>
    </row>
    <row r="187" spans="1:1" x14ac:dyDescent="0.2">
      <c r="A187" s="12" t="s">
        <v>3095</v>
      </c>
    </row>
    <row r="188" spans="1:1" x14ac:dyDescent="0.2">
      <c r="A188" s="12" t="s">
        <v>2838</v>
      </c>
    </row>
    <row r="189" spans="1:1" x14ac:dyDescent="0.2">
      <c r="A189" s="12" t="s">
        <v>2672</v>
      </c>
    </row>
    <row r="190" spans="1:1" x14ac:dyDescent="0.2">
      <c r="A190" s="12" t="s">
        <v>3096</v>
      </c>
    </row>
    <row r="191" spans="1:1" x14ac:dyDescent="0.2">
      <c r="A191" s="12" t="s">
        <v>3097</v>
      </c>
    </row>
    <row r="192" spans="1:1" x14ac:dyDescent="0.2">
      <c r="A192" s="12" t="s">
        <v>2659</v>
      </c>
    </row>
    <row r="193" spans="1:1" x14ac:dyDescent="0.2">
      <c r="A193" s="12" t="s">
        <v>3098</v>
      </c>
    </row>
    <row r="194" spans="1:1" x14ac:dyDescent="0.2">
      <c r="A194" s="12" t="s">
        <v>3099</v>
      </c>
    </row>
    <row r="195" spans="1:1" x14ac:dyDescent="0.2">
      <c r="A195" s="12" t="s">
        <v>3100</v>
      </c>
    </row>
    <row r="196" spans="1:1" x14ac:dyDescent="0.2">
      <c r="A196" s="12" t="s">
        <v>3101</v>
      </c>
    </row>
    <row r="197" spans="1:1" x14ac:dyDescent="0.2">
      <c r="A197" s="12" t="s">
        <v>3102</v>
      </c>
    </row>
    <row r="198" spans="1:1" x14ac:dyDescent="0.2">
      <c r="A198" s="12" t="s">
        <v>3103</v>
      </c>
    </row>
    <row r="199" spans="1:1" x14ac:dyDescent="0.2">
      <c r="A199" s="12" t="s">
        <v>3104</v>
      </c>
    </row>
    <row r="200" spans="1:1" x14ac:dyDescent="0.2">
      <c r="A200" s="12" t="s">
        <v>3105</v>
      </c>
    </row>
    <row r="201" spans="1:1" x14ac:dyDescent="0.2">
      <c r="A201" s="12" t="s">
        <v>3106</v>
      </c>
    </row>
    <row r="202" spans="1:1" x14ac:dyDescent="0.2">
      <c r="A202" s="12" t="s">
        <v>3107</v>
      </c>
    </row>
    <row r="203" spans="1:1" x14ac:dyDescent="0.2">
      <c r="A203" s="12" t="s">
        <v>2793</v>
      </c>
    </row>
    <row r="204" spans="1:1" x14ac:dyDescent="0.2">
      <c r="A204" s="12" t="s">
        <v>2678</v>
      </c>
    </row>
    <row r="205" spans="1:1" x14ac:dyDescent="0.2">
      <c r="A205" s="12" t="s">
        <v>2688</v>
      </c>
    </row>
    <row r="206" spans="1:1" x14ac:dyDescent="0.2">
      <c r="A206" s="12" t="s">
        <v>2674</v>
      </c>
    </row>
    <row r="207" spans="1:1" x14ac:dyDescent="0.2">
      <c r="A207" s="12" t="s">
        <v>2844</v>
      </c>
    </row>
    <row r="208" spans="1:1" x14ac:dyDescent="0.2">
      <c r="A208" s="12" t="s">
        <v>2834</v>
      </c>
    </row>
    <row r="209" spans="1:1" x14ac:dyDescent="0.2">
      <c r="A209" s="12" t="s">
        <v>3108</v>
      </c>
    </row>
    <row r="210" spans="1:1" x14ac:dyDescent="0.2">
      <c r="A210" s="12" t="s">
        <v>3109</v>
      </c>
    </row>
    <row r="211" spans="1:1" x14ac:dyDescent="0.2">
      <c r="A211" s="12" t="s">
        <v>3110</v>
      </c>
    </row>
    <row r="212" spans="1:1" x14ac:dyDescent="0.2">
      <c r="A212" s="12" t="s">
        <v>2725</v>
      </c>
    </row>
    <row r="213" spans="1:1" x14ac:dyDescent="0.2">
      <c r="A213" s="12" t="s">
        <v>3111</v>
      </c>
    </row>
    <row r="214" spans="1:1" x14ac:dyDescent="0.2">
      <c r="A214" s="12" t="s">
        <v>3112</v>
      </c>
    </row>
    <row r="215" spans="1:1" x14ac:dyDescent="0.2">
      <c r="A215" s="12" t="s">
        <v>3113</v>
      </c>
    </row>
    <row r="216" spans="1:1" x14ac:dyDescent="0.2">
      <c r="A216" s="12" t="s">
        <v>2751</v>
      </c>
    </row>
    <row r="217" spans="1:1" x14ac:dyDescent="0.2">
      <c r="A217" s="12" t="s">
        <v>2873</v>
      </c>
    </row>
    <row r="218" spans="1:1" x14ac:dyDescent="0.2">
      <c r="A218" s="12" t="s">
        <v>2848</v>
      </c>
    </row>
    <row r="219" spans="1:1" x14ac:dyDescent="0.2">
      <c r="A219" s="12" t="s">
        <v>2781</v>
      </c>
    </row>
    <row r="220" spans="1:1" x14ac:dyDescent="0.2">
      <c r="A220" s="12" t="s">
        <v>2743</v>
      </c>
    </row>
    <row r="221" spans="1:1" x14ac:dyDescent="0.2">
      <c r="A221" s="12" t="s">
        <v>3114</v>
      </c>
    </row>
    <row r="222" spans="1:1" x14ac:dyDescent="0.2">
      <c r="A222" s="12" t="s">
        <v>3115</v>
      </c>
    </row>
    <row r="223" spans="1:1" x14ac:dyDescent="0.2">
      <c r="A223" s="12" t="s">
        <v>3116</v>
      </c>
    </row>
    <row r="224" spans="1:1" x14ac:dyDescent="0.2">
      <c r="A224" s="12" t="s">
        <v>3117</v>
      </c>
    </row>
    <row r="225" spans="1:1" x14ac:dyDescent="0.2">
      <c r="A225" s="12" t="s">
        <v>2735</v>
      </c>
    </row>
    <row r="226" spans="1:1" x14ac:dyDescent="0.2">
      <c r="A226" s="12" t="s">
        <v>3118</v>
      </c>
    </row>
    <row r="227" spans="1:1" x14ac:dyDescent="0.2">
      <c r="A227" s="12" t="s">
        <v>2704</v>
      </c>
    </row>
    <row r="228" spans="1:1" x14ac:dyDescent="0.2">
      <c r="A228" s="12" t="s">
        <v>3119</v>
      </c>
    </row>
    <row r="229" spans="1:1" x14ac:dyDescent="0.2">
      <c r="A229" s="12" t="s">
        <v>3120</v>
      </c>
    </row>
    <row r="230" spans="1:1" x14ac:dyDescent="0.2">
      <c r="A230" s="12" t="s">
        <v>2768</v>
      </c>
    </row>
    <row r="231" spans="1:1" x14ac:dyDescent="0.2">
      <c r="A231" s="12" t="s">
        <v>3121</v>
      </c>
    </row>
    <row r="232" spans="1:1" x14ac:dyDescent="0.2">
      <c r="A232" s="12" t="s">
        <v>3122</v>
      </c>
    </row>
    <row r="233" spans="1:1" x14ac:dyDescent="0.2">
      <c r="A233" s="12" t="s">
        <v>3123</v>
      </c>
    </row>
    <row r="234" spans="1:1" x14ac:dyDescent="0.2">
      <c r="A234" s="12" t="s">
        <v>3124</v>
      </c>
    </row>
    <row r="235" spans="1:1" x14ac:dyDescent="0.2">
      <c r="A235" s="12" t="s">
        <v>2880</v>
      </c>
    </row>
    <row r="236" spans="1:1" x14ac:dyDescent="0.2">
      <c r="A236" s="12" t="s">
        <v>3125</v>
      </c>
    </row>
    <row r="237" spans="1:1" x14ac:dyDescent="0.2">
      <c r="A237" s="12" t="s">
        <v>3126</v>
      </c>
    </row>
    <row r="238" spans="1:1" x14ac:dyDescent="0.2">
      <c r="A238" s="12" t="s">
        <v>2806</v>
      </c>
    </row>
    <row r="239" spans="1:1" x14ac:dyDescent="0.2">
      <c r="A239" s="12" t="s">
        <v>3127</v>
      </c>
    </row>
    <row r="240" spans="1:1" x14ac:dyDescent="0.2">
      <c r="A240" s="12" t="s">
        <v>3128</v>
      </c>
    </row>
    <row r="241" spans="1:1" x14ac:dyDescent="0.2">
      <c r="A241" s="12" t="s">
        <v>3129</v>
      </c>
    </row>
    <row r="242" spans="1:1" x14ac:dyDescent="0.2">
      <c r="A242" s="12" t="s">
        <v>3130</v>
      </c>
    </row>
    <row r="243" spans="1:1" x14ac:dyDescent="0.2">
      <c r="A243" s="12" t="s">
        <v>3131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1C173-1BF0-4A74-BBB8-43DDBE07423E}">
  <sheetPr codeName="Sheet2"/>
  <dimension ref="A1:M681"/>
  <sheetViews>
    <sheetView topLeftCell="F488" workbookViewId="0">
      <selection activeCell="M488" sqref="M488"/>
    </sheetView>
  </sheetViews>
  <sheetFormatPr defaultRowHeight="12.5" x14ac:dyDescent="0.25"/>
  <cols>
    <col min="1" max="1" width="8.81640625" bestFit="1" customWidth="1"/>
    <col min="2" max="2" width="11.08984375" bestFit="1" customWidth="1"/>
    <col min="4" max="4" width="5.90625" bestFit="1" customWidth="1"/>
    <col min="5" max="5" width="8.54296875" bestFit="1" customWidth="1"/>
    <col min="6" max="6" width="46.81640625" bestFit="1" customWidth="1"/>
    <col min="7" max="7" width="16.7265625" bestFit="1" customWidth="1"/>
    <col min="8" max="8" width="7.81640625" bestFit="1" customWidth="1"/>
    <col min="9" max="9" width="8.54296875" bestFit="1" customWidth="1"/>
    <col min="10" max="10" width="11.453125" bestFit="1" customWidth="1"/>
    <col min="11" max="11" width="11.6328125" bestFit="1" customWidth="1"/>
    <col min="12" max="12" width="13.6328125" bestFit="1" customWidth="1"/>
    <col min="13" max="13" width="18.08984375" bestFit="1" customWidth="1"/>
  </cols>
  <sheetData>
    <row r="1" spans="1:13" ht="37.5" x14ac:dyDescent="0.25">
      <c r="A1" s="5" t="s">
        <v>2465</v>
      </c>
      <c r="B1" s="5" t="s">
        <v>2466</v>
      </c>
      <c r="C1" s="1" t="s">
        <v>2467</v>
      </c>
      <c r="D1" s="1" t="s">
        <v>2468</v>
      </c>
      <c r="E1" s="5" t="s">
        <v>2469</v>
      </c>
      <c r="F1" s="1" t="s">
        <v>2470</v>
      </c>
      <c r="G1" s="1" t="s">
        <v>2471</v>
      </c>
      <c r="H1" s="5" t="s">
        <v>2472</v>
      </c>
      <c r="I1" s="5" t="s">
        <v>2473</v>
      </c>
      <c r="J1" s="1" t="s">
        <v>2474</v>
      </c>
      <c r="K1" s="1" t="s">
        <v>2475</v>
      </c>
      <c r="L1" s="1" t="s">
        <v>2476</v>
      </c>
      <c r="M1" s="1" t="s">
        <v>2477</v>
      </c>
    </row>
    <row r="2" spans="1:13" x14ac:dyDescent="0.25">
      <c r="A2">
        <v>55560878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s="2">
        <v>750</v>
      </c>
      <c r="H2" t="s">
        <v>5</v>
      </c>
      <c r="I2" t="s">
        <v>6</v>
      </c>
      <c r="J2" s="3">
        <v>2466.4</v>
      </c>
      <c r="K2" t="s">
        <v>7</v>
      </c>
      <c r="L2" t="s">
        <v>8</v>
      </c>
      <c r="M2" s="4">
        <v>45173</v>
      </c>
    </row>
    <row r="3" spans="1:13" x14ac:dyDescent="0.25">
      <c r="A3">
        <v>55560879</v>
      </c>
      <c r="B3" t="s">
        <v>10</v>
      </c>
      <c r="C3" t="s">
        <v>11</v>
      </c>
      <c r="D3" t="s">
        <v>2</v>
      </c>
      <c r="E3" t="s">
        <v>3</v>
      </c>
      <c r="F3" t="s">
        <v>12</v>
      </c>
      <c r="G3" s="2">
        <v>1000</v>
      </c>
      <c r="H3" t="s">
        <v>13</v>
      </c>
      <c r="I3" t="s">
        <v>6</v>
      </c>
      <c r="J3" s="3">
        <v>3131.68</v>
      </c>
      <c r="K3" t="s">
        <v>14</v>
      </c>
      <c r="L3" t="s">
        <v>15</v>
      </c>
      <c r="M3" s="4">
        <v>45173</v>
      </c>
    </row>
    <row r="4" spans="1:13" x14ac:dyDescent="0.25">
      <c r="A4">
        <v>55693167</v>
      </c>
      <c r="B4" t="s">
        <v>16</v>
      </c>
      <c r="C4" t="s">
        <v>17</v>
      </c>
      <c r="D4" t="s">
        <v>2</v>
      </c>
      <c r="E4" t="s">
        <v>9</v>
      </c>
      <c r="F4" t="s">
        <v>18</v>
      </c>
      <c r="G4" s="2">
        <v>340</v>
      </c>
      <c r="H4" t="s">
        <v>5</v>
      </c>
      <c r="I4" t="s">
        <v>6</v>
      </c>
      <c r="J4" s="3">
        <v>5202</v>
      </c>
      <c r="K4" t="s">
        <v>19</v>
      </c>
      <c r="L4" t="s">
        <v>20</v>
      </c>
      <c r="M4" s="4">
        <v>45188</v>
      </c>
    </row>
    <row r="5" spans="1:13" x14ac:dyDescent="0.25">
      <c r="A5">
        <v>55957437</v>
      </c>
      <c r="B5" t="s">
        <v>21</v>
      </c>
      <c r="C5" t="s">
        <v>22</v>
      </c>
      <c r="D5" t="s">
        <v>23</v>
      </c>
      <c r="E5" t="s">
        <v>3</v>
      </c>
      <c r="F5" t="s">
        <v>24</v>
      </c>
      <c r="G5" s="2">
        <v>1</v>
      </c>
      <c r="H5" t="s">
        <v>5</v>
      </c>
      <c r="I5" t="s">
        <v>25</v>
      </c>
      <c r="J5" s="3">
        <v>500</v>
      </c>
      <c r="K5" t="s">
        <v>26</v>
      </c>
      <c r="L5" t="s">
        <v>27</v>
      </c>
      <c r="M5" s="4">
        <v>45217</v>
      </c>
    </row>
    <row r="6" spans="1:13" x14ac:dyDescent="0.25">
      <c r="A6">
        <v>56035232</v>
      </c>
      <c r="B6" t="s">
        <v>28</v>
      </c>
      <c r="C6" t="s">
        <v>29</v>
      </c>
      <c r="D6" t="s">
        <v>30</v>
      </c>
      <c r="E6" t="s">
        <v>3</v>
      </c>
      <c r="F6" t="s">
        <v>31</v>
      </c>
      <c r="G6" s="2">
        <v>1</v>
      </c>
      <c r="H6" t="s">
        <v>32</v>
      </c>
      <c r="I6" t="s">
        <v>33</v>
      </c>
      <c r="J6" s="3">
        <v>121520.72</v>
      </c>
      <c r="K6" t="s">
        <v>22</v>
      </c>
      <c r="L6" t="s">
        <v>34</v>
      </c>
      <c r="M6" s="4">
        <v>45217</v>
      </c>
    </row>
    <row r="7" spans="1:13" x14ac:dyDescent="0.25">
      <c r="A7">
        <v>56035286</v>
      </c>
      <c r="B7" t="s">
        <v>35</v>
      </c>
      <c r="C7" t="s">
        <v>36</v>
      </c>
      <c r="D7" t="s">
        <v>37</v>
      </c>
      <c r="E7" t="s">
        <v>3</v>
      </c>
      <c r="F7" t="s">
        <v>38</v>
      </c>
      <c r="G7" s="2">
        <v>250316.25</v>
      </c>
      <c r="H7" t="s">
        <v>32</v>
      </c>
      <c r="I7" t="s">
        <v>6</v>
      </c>
      <c r="J7" s="3">
        <v>250316.25</v>
      </c>
      <c r="K7" t="s">
        <v>22</v>
      </c>
      <c r="L7" t="s">
        <v>39</v>
      </c>
      <c r="M7" s="4">
        <v>45225</v>
      </c>
    </row>
    <row r="8" spans="1:13" x14ac:dyDescent="0.25">
      <c r="A8">
        <v>56035397</v>
      </c>
      <c r="B8" t="s">
        <v>40</v>
      </c>
      <c r="C8" t="s">
        <v>22</v>
      </c>
      <c r="D8" t="s">
        <v>41</v>
      </c>
      <c r="E8" t="s">
        <v>3</v>
      </c>
      <c r="F8" t="s">
        <v>42</v>
      </c>
      <c r="G8" s="2">
        <v>1</v>
      </c>
      <c r="H8" t="s">
        <v>5</v>
      </c>
      <c r="I8" t="s">
        <v>25</v>
      </c>
      <c r="J8" s="3">
        <v>750</v>
      </c>
      <c r="K8" t="s">
        <v>22</v>
      </c>
      <c r="L8" t="s">
        <v>43</v>
      </c>
      <c r="M8" s="4">
        <v>45217</v>
      </c>
    </row>
    <row r="9" spans="1:13" x14ac:dyDescent="0.25">
      <c r="A9">
        <v>56035403</v>
      </c>
      <c r="B9" t="s">
        <v>44</v>
      </c>
      <c r="C9" t="s">
        <v>45</v>
      </c>
      <c r="D9" t="s">
        <v>46</v>
      </c>
      <c r="E9" t="s">
        <v>3</v>
      </c>
      <c r="F9" t="s">
        <v>47</v>
      </c>
      <c r="G9" s="2">
        <v>1</v>
      </c>
      <c r="H9" t="s">
        <v>32</v>
      </c>
      <c r="I9" t="s">
        <v>25</v>
      </c>
      <c r="J9" s="3">
        <v>500</v>
      </c>
      <c r="K9" t="s">
        <v>22</v>
      </c>
      <c r="L9" t="s">
        <v>48</v>
      </c>
      <c r="M9" s="4">
        <v>45216</v>
      </c>
    </row>
    <row r="10" spans="1:13" x14ac:dyDescent="0.25">
      <c r="A10">
        <v>56035404</v>
      </c>
      <c r="B10" t="s">
        <v>49</v>
      </c>
      <c r="C10" t="s">
        <v>50</v>
      </c>
      <c r="D10" t="s">
        <v>51</v>
      </c>
      <c r="E10" t="s">
        <v>3</v>
      </c>
      <c r="F10" t="s">
        <v>52</v>
      </c>
      <c r="G10" s="2">
        <v>1</v>
      </c>
      <c r="H10" t="s">
        <v>5</v>
      </c>
      <c r="I10" t="s">
        <v>6</v>
      </c>
      <c r="J10" s="3">
        <v>3000</v>
      </c>
      <c r="K10" t="s">
        <v>22</v>
      </c>
      <c r="L10" t="s">
        <v>53</v>
      </c>
      <c r="M10" s="4">
        <v>45222</v>
      </c>
    </row>
    <row r="11" spans="1:13" x14ac:dyDescent="0.25">
      <c r="A11">
        <v>56035405</v>
      </c>
      <c r="B11" t="s">
        <v>54</v>
      </c>
      <c r="C11" t="s">
        <v>55</v>
      </c>
      <c r="D11" t="s">
        <v>56</v>
      </c>
      <c r="E11" t="s">
        <v>3</v>
      </c>
      <c r="F11" t="s">
        <v>57</v>
      </c>
      <c r="G11" s="2">
        <v>1</v>
      </c>
      <c r="H11" t="s">
        <v>32</v>
      </c>
      <c r="I11" t="s">
        <v>6</v>
      </c>
      <c r="J11" s="3">
        <v>5038.5200000000004</v>
      </c>
      <c r="K11" t="s">
        <v>22</v>
      </c>
      <c r="L11" t="s">
        <v>58</v>
      </c>
      <c r="M11" s="4">
        <v>45217</v>
      </c>
    </row>
    <row r="12" spans="1:13" x14ac:dyDescent="0.25">
      <c r="A12">
        <v>56035406</v>
      </c>
      <c r="B12" t="s">
        <v>59</v>
      </c>
      <c r="C12" t="s">
        <v>60</v>
      </c>
      <c r="D12" t="s">
        <v>61</v>
      </c>
      <c r="E12" t="s">
        <v>3</v>
      </c>
      <c r="F12" t="s">
        <v>62</v>
      </c>
      <c r="G12" s="2">
        <v>1</v>
      </c>
      <c r="H12" t="s">
        <v>32</v>
      </c>
      <c r="I12" t="s">
        <v>6</v>
      </c>
      <c r="J12" s="3">
        <v>7454.86</v>
      </c>
      <c r="K12" t="s">
        <v>22</v>
      </c>
      <c r="L12" t="s">
        <v>63</v>
      </c>
      <c r="M12" s="4">
        <v>45219</v>
      </c>
    </row>
    <row r="13" spans="1:13" x14ac:dyDescent="0.25">
      <c r="A13">
        <v>56035407</v>
      </c>
      <c r="B13" t="s">
        <v>64</v>
      </c>
      <c r="C13" t="s">
        <v>65</v>
      </c>
      <c r="D13" t="s">
        <v>23</v>
      </c>
      <c r="E13" t="s">
        <v>66</v>
      </c>
      <c r="F13" t="s">
        <v>67</v>
      </c>
      <c r="G13" s="2">
        <v>1</v>
      </c>
      <c r="H13" t="s">
        <v>32</v>
      </c>
      <c r="I13" t="s">
        <v>25</v>
      </c>
      <c r="J13" s="3">
        <v>500</v>
      </c>
      <c r="K13" t="s">
        <v>22</v>
      </c>
      <c r="L13" t="s">
        <v>68</v>
      </c>
      <c r="M13" s="4">
        <v>45217</v>
      </c>
    </row>
    <row r="14" spans="1:13" x14ac:dyDescent="0.25">
      <c r="A14">
        <v>56035408</v>
      </c>
      <c r="B14" t="s">
        <v>69</v>
      </c>
      <c r="C14" t="s">
        <v>22</v>
      </c>
      <c r="D14" t="s">
        <v>23</v>
      </c>
      <c r="E14" t="s">
        <v>3</v>
      </c>
      <c r="F14" t="s">
        <v>70</v>
      </c>
      <c r="G14" s="2">
        <v>1</v>
      </c>
      <c r="H14" t="s">
        <v>5</v>
      </c>
      <c r="I14" t="s">
        <v>25</v>
      </c>
      <c r="J14" s="3">
        <v>1500</v>
      </c>
      <c r="K14" t="s">
        <v>71</v>
      </c>
      <c r="L14" t="s">
        <v>72</v>
      </c>
      <c r="M14" s="4">
        <v>45217</v>
      </c>
    </row>
    <row r="15" spans="1:13" x14ac:dyDescent="0.25">
      <c r="A15">
        <v>56035425</v>
      </c>
      <c r="B15" t="s">
        <v>73</v>
      </c>
      <c r="C15" t="s">
        <v>74</v>
      </c>
      <c r="D15" t="s">
        <v>75</v>
      </c>
      <c r="E15" t="s">
        <v>3</v>
      </c>
      <c r="F15" t="s">
        <v>76</v>
      </c>
      <c r="G15" s="2">
        <v>1</v>
      </c>
      <c r="H15" t="s">
        <v>32</v>
      </c>
      <c r="I15" t="s">
        <v>77</v>
      </c>
      <c r="J15" s="3">
        <v>56889.46</v>
      </c>
      <c r="K15" t="s">
        <v>22</v>
      </c>
      <c r="L15" t="s">
        <v>78</v>
      </c>
      <c r="M15" s="4">
        <v>45245</v>
      </c>
    </row>
    <row r="16" spans="1:13" x14ac:dyDescent="0.25">
      <c r="A16">
        <v>56035431</v>
      </c>
      <c r="B16" t="s">
        <v>79</v>
      </c>
      <c r="C16" t="s">
        <v>36</v>
      </c>
      <c r="D16" t="s">
        <v>51</v>
      </c>
      <c r="E16" t="s">
        <v>3</v>
      </c>
      <c r="F16" t="s">
        <v>80</v>
      </c>
      <c r="G16" s="2">
        <v>6178</v>
      </c>
      <c r="H16" t="s">
        <v>32</v>
      </c>
      <c r="I16" t="s">
        <v>6</v>
      </c>
      <c r="J16" s="3">
        <v>6178</v>
      </c>
      <c r="K16" t="s">
        <v>22</v>
      </c>
      <c r="L16" t="s">
        <v>81</v>
      </c>
      <c r="M16" s="4">
        <v>45219</v>
      </c>
    </row>
    <row r="17" spans="1:13" x14ac:dyDescent="0.25">
      <c r="A17">
        <v>56035433</v>
      </c>
      <c r="B17" t="s">
        <v>82</v>
      </c>
      <c r="C17" t="s">
        <v>83</v>
      </c>
      <c r="D17" t="s">
        <v>51</v>
      </c>
      <c r="E17" t="s">
        <v>3</v>
      </c>
      <c r="F17" t="s">
        <v>84</v>
      </c>
      <c r="G17" s="2">
        <v>400</v>
      </c>
      <c r="H17" t="s">
        <v>32</v>
      </c>
      <c r="I17" t="s">
        <v>25</v>
      </c>
      <c r="J17" s="3">
        <v>738.1</v>
      </c>
      <c r="K17" t="s">
        <v>22</v>
      </c>
      <c r="L17" t="s">
        <v>85</v>
      </c>
      <c r="M17" s="4">
        <v>45217</v>
      </c>
    </row>
    <row r="18" spans="1:13" x14ac:dyDescent="0.25">
      <c r="A18">
        <v>56035434</v>
      </c>
      <c r="B18" t="s">
        <v>86</v>
      </c>
      <c r="C18" t="s">
        <v>83</v>
      </c>
      <c r="D18" t="s">
        <v>87</v>
      </c>
      <c r="E18" t="s">
        <v>3</v>
      </c>
      <c r="F18" t="s">
        <v>88</v>
      </c>
      <c r="G18" s="2">
        <v>1</v>
      </c>
      <c r="H18" t="s">
        <v>32</v>
      </c>
      <c r="I18" t="s">
        <v>25</v>
      </c>
      <c r="J18" s="3">
        <v>3100</v>
      </c>
      <c r="K18" t="s">
        <v>22</v>
      </c>
      <c r="L18" t="s">
        <v>89</v>
      </c>
      <c r="M18" s="4">
        <v>45219</v>
      </c>
    </row>
    <row r="19" spans="1:13" x14ac:dyDescent="0.25">
      <c r="A19">
        <v>56035436</v>
      </c>
      <c r="B19" t="s">
        <v>90</v>
      </c>
      <c r="C19" t="s">
        <v>91</v>
      </c>
      <c r="D19" t="s">
        <v>51</v>
      </c>
      <c r="E19" t="s">
        <v>3</v>
      </c>
      <c r="F19" t="s">
        <v>92</v>
      </c>
      <c r="G19" s="2">
        <v>1</v>
      </c>
      <c r="H19" t="s">
        <v>32</v>
      </c>
      <c r="I19" t="s">
        <v>25</v>
      </c>
      <c r="J19" s="3">
        <v>4000</v>
      </c>
      <c r="K19" t="s">
        <v>22</v>
      </c>
      <c r="L19" t="s">
        <v>93</v>
      </c>
      <c r="M19" s="4">
        <v>45275</v>
      </c>
    </row>
    <row r="20" spans="1:13" x14ac:dyDescent="0.25">
      <c r="A20">
        <v>56035437</v>
      </c>
      <c r="B20" t="s">
        <v>94</v>
      </c>
      <c r="C20" t="s">
        <v>95</v>
      </c>
      <c r="D20" t="s">
        <v>96</v>
      </c>
      <c r="E20" t="s">
        <v>3</v>
      </c>
      <c r="F20" t="s">
        <v>97</v>
      </c>
      <c r="G20" s="2">
        <v>5</v>
      </c>
      <c r="H20" t="s">
        <v>32</v>
      </c>
      <c r="I20" t="s">
        <v>25</v>
      </c>
      <c r="J20" s="3">
        <v>302.39999999999998</v>
      </c>
      <c r="K20" t="s">
        <v>22</v>
      </c>
      <c r="L20" t="s">
        <v>98</v>
      </c>
      <c r="M20" s="4">
        <v>45217</v>
      </c>
    </row>
    <row r="21" spans="1:13" x14ac:dyDescent="0.25">
      <c r="A21">
        <v>56035438</v>
      </c>
      <c r="B21" t="s">
        <v>99</v>
      </c>
      <c r="C21" t="s">
        <v>100</v>
      </c>
      <c r="D21" t="s">
        <v>51</v>
      </c>
      <c r="E21" t="s">
        <v>3</v>
      </c>
      <c r="F21" t="s">
        <v>101</v>
      </c>
      <c r="G21" s="2">
        <v>1</v>
      </c>
      <c r="H21" t="s">
        <v>32</v>
      </c>
      <c r="I21" t="s">
        <v>25</v>
      </c>
      <c r="J21" s="3">
        <v>6046.94</v>
      </c>
      <c r="K21" t="s">
        <v>22</v>
      </c>
      <c r="L21" t="s">
        <v>102</v>
      </c>
      <c r="M21" s="4">
        <v>45219</v>
      </c>
    </row>
    <row r="22" spans="1:13" x14ac:dyDescent="0.25">
      <c r="A22">
        <v>56035441</v>
      </c>
      <c r="B22" t="s">
        <v>103</v>
      </c>
      <c r="C22" t="s">
        <v>104</v>
      </c>
      <c r="D22" t="s">
        <v>2</v>
      </c>
      <c r="E22" t="s">
        <v>3</v>
      </c>
      <c r="F22" t="s">
        <v>105</v>
      </c>
      <c r="G22" s="2">
        <v>1</v>
      </c>
      <c r="H22" t="s">
        <v>106</v>
      </c>
      <c r="I22" t="s">
        <v>6</v>
      </c>
      <c r="J22" s="3">
        <v>1472.15</v>
      </c>
      <c r="K22" t="s">
        <v>22</v>
      </c>
      <c r="L22" t="s">
        <v>107</v>
      </c>
      <c r="M22" s="4">
        <v>45217</v>
      </c>
    </row>
    <row r="23" spans="1:13" x14ac:dyDescent="0.25">
      <c r="A23">
        <v>56037021</v>
      </c>
      <c r="B23" t="s">
        <v>108</v>
      </c>
      <c r="C23" t="s">
        <v>22</v>
      </c>
      <c r="D23" t="s">
        <v>109</v>
      </c>
      <c r="E23" t="s">
        <v>3</v>
      </c>
      <c r="F23" t="s">
        <v>110</v>
      </c>
      <c r="G23" s="2">
        <v>720</v>
      </c>
      <c r="H23" t="s">
        <v>5</v>
      </c>
      <c r="I23" t="s">
        <v>25</v>
      </c>
      <c r="J23" s="3">
        <v>1026</v>
      </c>
      <c r="K23" t="s">
        <v>111</v>
      </c>
      <c r="L23" t="s">
        <v>112</v>
      </c>
      <c r="M23" s="4">
        <v>45217</v>
      </c>
    </row>
    <row r="24" spans="1:13" x14ac:dyDescent="0.25">
      <c r="A24">
        <v>56037022</v>
      </c>
      <c r="B24" t="s">
        <v>113</v>
      </c>
      <c r="C24" t="s">
        <v>114</v>
      </c>
      <c r="D24" t="s">
        <v>115</v>
      </c>
      <c r="E24" t="s">
        <v>3</v>
      </c>
      <c r="F24" t="s">
        <v>116</v>
      </c>
      <c r="G24" s="2">
        <v>1</v>
      </c>
      <c r="H24" t="s">
        <v>32</v>
      </c>
      <c r="I24" t="s">
        <v>117</v>
      </c>
      <c r="J24" s="3">
        <v>5455</v>
      </c>
      <c r="K24" t="s">
        <v>22</v>
      </c>
      <c r="L24" t="s">
        <v>118</v>
      </c>
      <c r="M24" s="4">
        <v>45219</v>
      </c>
    </row>
    <row r="25" spans="1:13" x14ac:dyDescent="0.25">
      <c r="A25">
        <v>56037023</v>
      </c>
      <c r="B25" t="s">
        <v>119</v>
      </c>
      <c r="C25" t="s">
        <v>36</v>
      </c>
      <c r="D25" t="s">
        <v>51</v>
      </c>
      <c r="E25" t="s">
        <v>3</v>
      </c>
      <c r="F25" t="s">
        <v>120</v>
      </c>
      <c r="G25" s="2">
        <v>6178</v>
      </c>
      <c r="H25" t="s">
        <v>32</v>
      </c>
      <c r="I25" t="s">
        <v>6</v>
      </c>
      <c r="J25" s="3">
        <v>6178</v>
      </c>
      <c r="K25" t="s">
        <v>22</v>
      </c>
      <c r="L25" t="s">
        <v>121</v>
      </c>
      <c r="M25" s="4">
        <v>45219</v>
      </c>
    </row>
    <row r="26" spans="1:13" x14ac:dyDescent="0.25">
      <c r="A26">
        <v>56037024</v>
      </c>
      <c r="B26" t="s">
        <v>122</v>
      </c>
      <c r="C26" t="s">
        <v>36</v>
      </c>
      <c r="D26" t="s">
        <v>51</v>
      </c>
      <c r="E26" t="s">
        <v>3</v>
      </c>
      <c r="F26" t="s">
        <v>123</v>
      </c>
      <c r="G26" s="2">
        <v>6178</v>
      </c>
      <c r="H26" t="s">
        <v>32</v>
      </c>
      <c r="I26" t="s">
        <v>6</v>
      </c>
      <c r="J26" s="3">
        <v>6178</v>
      </c>
      <c r="K26" t="s">
        <v>22</v>
      </c>
      <c r="L26" t="s">
        <v>124</v>
      </c>
      <c r="M26" s="4">
        <v>45219</v>
      </c>
    </row>
    <row r="27" spans="1:13" x14ac:dyDescent="0.25">
      <c r="A27">
        <v>56037025</v>
      </c>
      <c r="B27" t="s">
        <v>125</v>
      </c>
      <c r="C27" t="s">
        <v>36</v>
      </c>
      <c r="D27" t="s">
        <v>51</v>
      </c>
      <c r="E27" t="s">
        <v>3</v>
      </c>
      <c r="F27" t="s">
        <v>126</v>
      </c>
      <c r="G27" s="2">
        <v>9267</v>
      </c>
      <c r="H27" t="s">
        <v>32</v>
      </c>
      <c r="I27" t="s">
        <v>6</v>
      </c>
      <c r="J27" s="3">
        <v>9267</v>
      </c>
      <c r="K27" t="s">
        <v>22</v>
      </c>
      <c r="L27" t="s">
        <v>127</v>
      </c>
      <c r="M27" s="4">
        <v>45231</v>
      </c>
    </row>
    <row r="28" spans="1:13" x14ac:dyDescent="0.25">
      <c r="A28">
        <v>56037026</v>
      </c>
      <c r="B28" t="s">
        <v>128</v>
      </c>
      <c r="C28" t="s">
        <v>36</v>
      </c>
      <c r="D28" t="s">
        <v>51</v>
      </c>
      <c r="E28" t="s">
        <v>3</v>
      </c>
      <c r="F28" t="s">
        <v>129</v>
      </c>
      <c r="G28" s="2">
        <v>18534</v>
      </c>
      <c r="H28" t="s">
        <v>32</v>
      </c>
      <c r="I28" t="s">
        <v>6</v>
      </c>
      <c r="J28" s="3">
        <v>18534</v>
      </c>
      <c r="K28" t="s">
        <v>22</v>
      </c>
      <c r="L28" t="s">
        <v>130</v>
      </c>
      <c r="M28" s="4">
        <v>45232</v>
      </c>
    </row>
    <row r="29" spans="1:13" x14ac:dyDescent="0.25">
      <c r="A29">
        <v>56037027</v>
      </c>
      <c r="B29" t="s">
        <v>131</v>
      </c>
      <c r="C29" t="s">
        <v>36</v>
      </c>
      <c r="D29" t="s">
        <v>51</v>
      </c>
      <c r="E29" t="s">
        <v>3</v>
      </c>
      <c r="F29" t="s">
        <v>132</v>
      </c>
      <c r="G29" s="2">
        <v>18534</v>
      </c>
      <c r="H29" t="s">
        <v>32</v>
      </c>
      <c r="I29" t="s">
        <v>6</v>
      </c>
      <c r="J29" s="3">
        <v>18534</v>
      </c>
      <c r="K29" t="s">
        <v>22</v>
      </c>
      <c r="L29" t="s">
        <v>133</v>
      </c>
      <c r="M29" s="4">
        <v>45238</v>
      </c>
    </row>
    <row r="30" spans="1:13" x14ac:dyDescent="0.25">
      <c r="A30">
        <v>56037028</v>
      </c>
      <c r="B30" t="s">
        <v>134</v>
      </c>
      <c r="C30" t="s">
        <v>135</v>
      </c>
      <c r="D30" t="s">
        <v>51</v>
      </c>
      <c r="E30" t="s">
        <v>3</v>
      </c>
      <c r="F30" t="s">
        <v>136</v>
      </c>
      <c r="G30" s="2">
        <v>400</v>
      </c>
      <c r="H30" t="s">
        <v>32</v>
      </c>
      <c r="I30" t="s">
        <v>6</v>
      </c>
      <c r="J30" s="3">
        <v>500</v>
      </c>
      <c r="K30" t="s">
        <v>22</v>
      </c>
      <c r="L30" t="s">
        <v>137</v>
      </c>
      <c r="M30" s="4">
        <v>45231</v>
      </c>
    </row>
    <row r="31" spans="1:13" x14ac:dyDescent="0.25">
      <c r="A31">
        <v>56037029</v>
      </c>
      <c r="B31" t="s">
        <v>138</v>
      </c>
      <c r="C31" t="s">
        <v>139</v>
      </c>
      <c r="D31" t="s">
        <v>51</v>
      </c>
      <c r="E31" t="s">
        <v>3</v>
      </c>
      <c r="F31" t="s">
        <v>140</v>
      </c>
      <c r="G31" s="2">
        <v>1</v>
      </c>
      <c r="H31" t="s">
        <v>32</v>
      </c>
      <c r="I31" t="s">
        <v>6</v>
      </c>
      <c r="J31" s="3">
        <v>4350</v>
      </c>
      <c r="K31" t="s">
        <v>22</v>
      </c>
      <c r="L31" t="s">
        <v>141</v>
      </c>
      <c r="M31" s="4">
        <v>45230</v>
      </c>
    </row>
    <row r="32" spans="1:13" x14ac:dyDescent="0.25">
      <c r="A32">
        <v>56037057</v>
      </c>
      <c r="B32" t="s">
        <v>142</v>
      </c>
      <c r="C32" t="s">
        <v>143</v>
      </c>
      <c r="D32" t="s">
        <v>30</v>
      </c>
      <c r="E32" t="s">
        <v>3</v>
      </c>
      <c r="F32" t="s">
        <v>144</v>
      </c>
      <c r="G32" s="2">
        <v>1</v>
      </c>
      <c r="H32" t="s">
        <v>32</v>
      </c>
      <c r="I32" t="s">
        <v>117</v>
      </c>
      <c r="J32" s="3">
        <v>3840</v>
      </c>
      <c r="K32" t="s">
        <v>22</v>
      </c>
      <c r="L32" t="s">
        <v>145</v>
      </c>
      <c r="M32" s="4">
        <v>45217</v>
      </c>
    </row>
    <row r="33" spans="1:13" x14ac:dyDescent="0.25">
      <c r="A33">
        <v>56037093</v>
      </c>
      <c r="B33" t="s">
        <v>146</v>
      </c>
      <c r="C33" t="s">
        <v>147</v>
      </c>
      <c r="D33" t="s">
        <v>148</v>
      </c>
      <c r="E33" t="s">
        <v>3</v>
      </c>
      <c r="F33" t="s">
        <v>149</v>
      </c>
      <c r="G33" s="2">
        <v>1</v>
      </c>
      <c r="H33" t="s">
        <v>32</v>
      </c>
      <c r="I33" t="s">
        <v>117</v>
      </c>
      <c r="J33" s="3">
        <v>0</v>
      </c>
      <c r="K33" t="s">
        <v>22</v>
      </c>
      <c r="L33" t="s">
        <v>22</v>
      </c>
      <c r="M33" s="4"/>
    </row>
    <row r="34" spans="1:13" x14ac:dyDescent="0.25">
      <c r="A34">
        <v>56037094</v>
      </c>
      <c r="B34" t="s">
        <v>150</v>
      </c>
      <c r="C34" t="s">
        <v>151</v>
      </c>
      <c r="D34" t="s">
        <v>51</v>
      </c>
      <c r="E34" t="s">
        <v>3</v>
      </c>
      <c r="F34" t="s">
        <v>152</v>
      </c>
      <c r="G34" s="2">
        <v>1</v>
      </c>
      <c r="H34" t="s">
        <v>32</v>
      </c>
      <c r="I34" t="s">
        <v>25</v>
      </c>
      <c r="J34" s="3">
        <v>69500</v>
      </c>
      <c r="K34" t="s">
        <v>22</v>
      </c>
      <c r="L34" t="s">
        <v>153</v>
      </c>
      <c r="M34" s="4">
        <v>45224</v>
      </c>
    </row>
    <row r="35" spans="1:13" x14ac:dyDescent="0.25">
      <c r="A35">
        <v>56037095</v>
      </c>
      <c r="B35" t="s">
        <v>154</v>
      </c>
      <c r="C35" t="s">
        <v>22</v>
      </c>
      <c r="D35" t="s">
        <v>155</v>
      </c>
      <c r="E35" t="s">
        <v>3</v>
      </c>
      <c r="F35" t="s">
        <v>156</v>
      </c>
      <c r="G35" s="2">
        <v>1</v>
      </c>
      <c r="H35" t="s">
        <v>5</v>
      </c>
      <c r="I35" t="s">
        <v>25</v>
      </c>
      <c r="J35" s="3">
        <v>1500</v>
      </c>
      <c r="K35" t="s">
        <v>22</v>
      </c>
      <c r="L35" t="s">
        <v>157</v>
      </c>
      <c r="M35" s="4">
        <v>45218</v>
      </c>
    </row>
    <row r="36" spans="1:13" x14ac:dyDescent="0.25">
      <c r="A36">
        <v>56037096</v>
      </c>
      <c r="B36" t="s">
        <v>158</v>
      </c>
      <c r="C36" t="s">
        <v>22</v>
      </c>
      <c r="D36" t="s">
        <v>155</v>
      </c>
      <c r="E36" t="s">
        <v>3</v>
      </c>
      <c r="F36" t="s">
        <v>159</v>
      </c>
      <c r="G36" s="2">
        <v>1</v>
      </c>
      <c r="H36" t="s">
        <v>5</v>
      </c>
      <c r="I36" t="s">
        <v>25</v>
      </c>
      <c r="J36" s="3">
        <v>1000</v>
      </c>
      <c r="K36" t="s">
        <v>160</v>
      </c>
      <c r="L36" t="s">
        <v>161</v>
      </c>
      <c r="M36" s="4">
        <v>45218</v>
      </c>
    </row>
    <row r="37" spans="1:13" x14ac:dyDescent="0.25">
      <c r="A37">
        <v>56037097</v>
      </c>
      <c r="B37" t="s">
        <v>162</v>
      </c>
      <c r="C37" t="s">
        <v>163</v>
      </c>
      <c r="D37" t="s">
        <v>148</v>
      </c>
      <c r="E37" t="s">
        <v>3</v>
      </c>
      <c r="F37" t="s">
        <v>164</v>
      </c>
      <c r="G37" s="2">
        <v>1</v>
      </c>
      <c r="H37" t="s">
        <v>32</v>
      </c>
      <c r="I37" t="s">
        <v>117</v>
      </c>
      <c r="J37" s="3">
        <v>1444</v>
      </c>
      <c r="K37" t="s">
        <v>22</v>
      </c>
      <c r="L37" t="s">
        <v>165</v>
      </c>
      <c r="M37" s="4">
        <v>45219</v>
      </c>
    </row>
    <row r="38" spans="1:13" x14ac:dyDescent="0.25">
      <c r="A38">
        <v>56037099</v>
      </c>
      <c r="B38" t="s">
        <v>166</v>
      </c>
      <c r="C38" t="s">
        <v>147</v>
      </c>
      <c r="D38" t="s">
        <v>148</v>
      </c>
      <c r="E38" t="s">
        <v>3</v>
      </c>
      <c r="F38" t="s">
        <v>167</v>
      </c>
      <c r="G38" s="2">
        <v>20</v>
      </c>
      <c r="H38" t="s">
        <v>32</v>
      </c>
      <c r="I38" t="s">
        <v>117</v>
      </c>
      <c r="J38" s="3">
        <v>34620</v>
      </c>
      <c r="K38" t="s">
        <v>22</v>
      </c>
      <c r="L38" t="s">
        <v>168</v>
      </c>
      <c r="M38" s="4">
        <v>45223</v>
      </c>
    </row>
    <row r="39" spans="1:13" x14ac:dyDescent="0.25">
      <c r="A39">
        <v>56037108</v>
      </c>
      <c r="B39" t="s">
        <v>169</v>
      </c>
      <c r="C39" t="s">
        <v>143</v>
      </c>
      <c r="D39" t="s">
        <v>30</v>
      </c>
      <c r="E39" t="s">
        <v>3</v>
      </c>
      <c r="F39" t="s">
        <v>170</v>
      </c>
      <c r="G39" s="2">
        <v>1</v>
      </c>
      <c r="H39" t="s">
        <v>32</v>
      </c>
      <c r="I39" t="s">
        <v>117</v>
      </c>
      <c r="J39" s="3">
        <v>2343</v>
      </c>
      <c r="K39" t="s">
        <v>22</v>
      </c>
      <c r="L39" t="s">
        <v>171</v>
      </c>
      <c r="M39" s="4">
        <v>45217</v>
      </c>
    </row>
    <row r="40" spans="1:13" x14ac:dyDescent="0.25">
      <c r="A40">
        <v>56037145</v>
      </c>
      <c r="B40" t="s">
        <v>172</v>
      </c>
      <c r="C40" t="s">
        <v>173</v>
      </c>
      <c r="D40" t="s">
        <v>96</v>
      </c>
      <c r="E40" t="s">
        <v>3</v>
      </c>
      <c r="F40" t="s">
        <v>174</v>
      </c>
      <c r="G40" s="2">
        <v>1</v>
      </c>
      <c r="H40" t="s">
        <v>32</v>
      </c>
      <c r="I40" t="s">
        <v>6</v>
      </c>
      <c r="J40" s="3">
        <v>1650</v>
      </c>
      <c r="K40" t="s">
        <v>22</v>
      </c>
      <c r="L40" t="s">
        <v>175</v>
      </c>
      <c r="M40" s="4">
        <v>45219</v>
      </c>
    </row>
    <row r="41" spans="1:13" x14ac:dyDescent="0.25">
      <c r="A41">
        <v>56037146</v>
      </c>
      <c r="B41" t="s">
        <v>176</v>
      </c>
      <c r="C41" t="s">
        <v>177</v>
      </c>
      <c r="D41" t="s">
        <v>148</v>
      </c>
      <c r="E41" t="s">
        <v>3</v>
      </c>
      <c r="F41" t="s">
        <v>178</v>
      </c>
      <c r="G41" s="2">
        <v>3</v>
      </c>
      <c r="H41" t="s">
        <v>32</v>
      </c>
      <c r="I41" t="s">
        <v>117</v>
      </c>
      <c r="J41" s="3">
        <v>3468</v>
      </c>
      <c r="K41" t="s">
        <v>22</v>
      </c>
      <c r="L41" t="s">
        <v>179</v>
      </c>
      <c r="M41" s="4">
        <v>45219</v>
      </c>
    </row>
    <row r="42" spans="1:13" x14ac:dyDescent="0.25">
      <c r="A42">
        <v>56037147</v>
      </c>
      <c r="B42" t="s">
        <v>180</v>
      </c>
      <c r="C42" t="s">
        <v>36</v>
      </c>
      <c r="D42" t="s">
        <v>51</v>
      </c>
      <c r="E42" t="s">
        <v>3</v>
      </c>
      <c r="F42" t="s">
        <v>181</v>
      </c>
      <c r="G42" s="2">
        <v>37068</v>
      </c>
      <c r="H42" t="s">
        <v>32</v>
      </c>
      <c r="I42" t="s">
        <v>6</v>
      </c>
      <c r="J42" s="3">
        <v>37068</v>
      </c>
      <c r="K42" t="s">
        <v>22</v>
      </c>
      <c r="L42" t="s">
        <v>182</v>
      </c>
      <c r="M42" s="4">
        <v>45231</v>
      </c>
    </row>
    <row r="43" spans="1:13" x14ac:dyDescent="0.25">
      <c r="A43">
        <v>56037148</v>
      </c>
      <c r="B43" t="s">
        <v>183</v>
      </c>
      <c r="C43" t="s">
        <v>36</v>
      </c>
      <c r="D43" t="s">
        <v>51</v>
      </c>
      <c r="E43" t="s">
        <v>3</v>
      </c>
      <c r="F43" t="s">
        <v>184</v>
      </c>
      <c r="G43" s="2">
        <v>55602</v>
      </c>
      <c r="H43" t="s">
        <v>32</v>
      </c>
      <c r="I43" t="s">
        <v>6</v>
      </c>
      <c r="J43" s="3">
        <v>55602</v>
      </c>
      <c r="K43" t="s">
        <v>22</v>
      </c>
      <c r="L43" t="s">
        <v>185</v>
      </c>
      <c r="M43" s="4">
        <v>45229</v>
      </c>
    </row>
    <row r="44" spans="1:13" x14ac:dyDescent="0.25">
      <c r="A44">
        <v>56037149</v>
      </c>
      <c r="B44" t="s">
        <v>186</v>
      </c>
      <c r="C44" t="s">
        <v>36</v>
      </c>
      <c r="D44" t="s">
        <v>51</v>
      </c>
      <c r="E44" t="s">
        <v>3</v>
      </c>
      <c r="F44" t="s">
        <v>187</v>
      </c>
      <c r="G44" s="2">
        <v>37068</v>
      </c>
      <c r="H44" t="s">
        <v>32</v>
      </c>
      <c r="I44" t="s">
        <v>6</v>
      </c>
      <c r="J44" s="3">
        <v>37068</v>
      </c>
      <c r="K44" t="s">
        <v>22</v>
      </c>
      <c r="L44" t="s">
        <v>188</v>
      </c>
      <c r="M44" s="4">
        <v>45230</v>
      </c>
    </row>
    <row r="45" spans="1:13" x14ac:dyDescent="0.25">
      <c r="A45">
        <v>56037153</v>
      </c>
      <c r="B45" t="s">
        <v>189</v>
      </c>
      <c r="C45" t="s">
        <v>190</v>
      </c>
      <c r="D45" t="s">
        <v>148</v>
      </c>
      <c r="E45" t="s">
        <v>3</v>
      </c>
      <c r="F45" t="s">
        <v>191</v>
      </c>
      <c r="G45" s="2">
        <v>1</v>
      </c>
      <c r="H45" t="s">
        <v>32</v>
      </c>
      <c r="I45" t="s">
        <v>117</v>
      </c>
      <c r="J45" s="3">
        <v>46363.05</v>
      </c>
      <c r="K45" t="s">
        <v>22</v>
      </c>
      <c r="L45" t="s">
        <v>192</v>
      </c>
      <c r="M45" s="4">
        <v>45219</v>
      </c>
    </row>
    <row r="46" spans="1:13" x14ac:dyDescent="0.25">
      <c r="A46">
        <v>56037154</v>
      </c>
      <c r="B46" t="s">
        <v>193</v>
      </c>
      <c r="C46" t="s">
        <v>163</v>
      </c>
      <c r="D46" t="s">
        <v>148</v>
      </c>
      <c r="E46" t="s">
        <v>3</v>
      </c>
      <c r="F46" t="s">
        <v>194</v>
      </c>
      <c r="G46" s="2">
        <v>220</v>
      </c>
      <c r="H46" t="s">
        <v>32</v>
      </c>
      <c r="I46" t="s">
        <v>117</v>
      </c>
      <c r="J46" s="3">
        <v>25520</v>
      </c>
      <c r="K46" t="s">
        <v>22</v>
      </c>
      <c r="L46" t="s">
        <v>195</v>
      </c>
      <c r="M46" s="4">
        <v>45225</v>
      </c>
    </row>
    <row r="47" spans="1:13" x14ac:dyDescent="0.25">
      <c r="A47">
        <v>56037155</v>
      </c>
      <c r="B47" t="s">
        <v>196</v>
      </c>
      <c r="C47" t="s">
        <v>197</v>
      </c>
      <c r="D47" t="s">
        <v>61</v>
      </c>
      <c r="E47" t="s">
        <v>3</v>
      </c>
      <c r="F47" t="s">
        <v>198</v>
      </c>
      <c r="G47" s="2">
        <v>1</v>
      </c>
      <c r="H47" t="s">
        <v>32</v>
      </c>
      <c r="I47" t="s">
        <v>25</v>
      </c>
      <c r="J47" s="3">
        <v>1000</v>
      </c>
      <c r="K47" t="s">
        <v>22</v>
      </c>
      <c r="L47" t="s">
        <v>199</v>
      </c>
      <c r="M47" s="4">
        <v>45217</v>
      </c>
    </row>
    <row r="48" spans="1:13" x14ac:dyDescent="0.25">
      <c r="A48">
        <v>56037156</v>
      </c>
      <c r="B48" t="s">
        <v>200</v>
      </c>
      <c r="C48" t="s">
        <v>201</v>
      </c>
      <c r="D48" t="s">
        <v>51</v>
      </c>
      <c r="E48" t="s">
        <v>3</v>
      </c>
      <c r="F48" t="s">
        <v>202</v>
      </c>
      <c r="G48" s="2">
        <v>16000</v>
      </c>
      <c r="H48" t="s">
        <v>13</v>
      </c>
      <c r="I48" t="s">
        <v>6</v>
      </c>
      <c r="J48" s="3">
        <v>3844</v>
      </c>
      <c r="K48" t="s">
        <v>22</v>
      </c>
      <c r="L48" t="s">
        <v>203</v>
      </c>
      <c r="M48" s="4">
        <v>45229</v>
      </c>
    </row>
    <row r="49" spans="1:13" x14ac:dyDescent="0.25">
      <c r="A49">
        <v>56039506</v>
      </c>
      <c r="B49" t="s">
        <v>204</v>
      </c>
      <c r="C49" t="s">
        <v>205</v>
      </c>
      <c r="D49" t="s">
        <v>148</v>
      </c>
      <c r="E49" t="s">
        <v>3</v>
      </c>
      <c r="F49" t="s">
        <v>206</v>
      </c>
      <c r="G49" s="2">
        <v>1</v>
      </c>
      <c r="H49" t="s">
        <v>32</v>
      </c>
      <c r="I49" t="s">
        <v>117</v>
      </c>
      <c r="J49" s="3">
        <v>4108</v>
      </c>
      <c r="K49" t="s">
        <v>22</v>
      </c>
      <c r="L49" t="s">
        <v>207</v>
      </c>
      <c r="M49" s="4">
        <v>45217</v>
      </c>
    </row>
    <row r="50" spans="1:13" x14ac:dyDescent="0.25">
      <c r="A50">
        <v>56040532</v>
      </c>
      <c r="B50" t="s">
        <v>208</v>
      </c>
      <c r="C50" t="s">
        <v>209</v>
      </c>
      <c r="D50" t="s">
        <v>210</v>
      </c>
      <c r="E50" t="s">
        <v>3</v>
      </c>
      <c r="F50" t="s">
        <v>211</v>
      </c>
      <c r="G50" s="2">
        <v>1</v>
      </c>
      <c r="H50" t="s">
        <v>32</v>
      </c>
      <c r="I50" t="s">
        <v>77</v>
      </c>
      <c r="J50" s="3">
        <v>375000</v>
      </c>
      <c r="K50" t="s">
        <v>22</v>
      </c>
      <c r="L50" t="s">
        <v>212</v>
      </c>
      <c r="M50" s="4">
        <v>45225</v>
      </c>
    </row>
    <row r="51" spans="1:13" x14ac:dyDescent="0.25">
      <c r="A51">
        <v>56040534</v>
      </c>
      <c r="B51" t="s">
        <v>213</v>
      </c>
      <c r="C51" t="s">
        <v>214</v>
      </c>
      <c r="D51" t="s">
        <v>215</v>
      </c>
      <c r="E51" t="s">
        <v>3</v>
      </c>
      <c r="F51" t="s">
        <v>216</v>
      </c>
      <c r="G51" s="2">
        <v>1</v>
      </c>
      <c r="H51" t="s">
        <v>32</v>
      </c>
      <c r="I51" t="s">
        <v>77</v>
      </c>
      <c r="J51" s="3">
        <v>18400</v>
      </c>
      <c r="K51" t="s">
        <v>22</v>
      </c>
      <c r="L51" t="s">
        <v>217</v>
      </c>
      <c r="M51" s="4">
        <v>45243</v>
      </c>
    </row>
    <row r="52" spans="1:13" x14ac:dyDescent="0.25">
      <c r="A52">
        <v>56040536</v>
      </c>
      <c r="B52" t="s">
        <v>218</v>
      </c>
      <c r="C52" t="s">
        <v>65</v>
      </c>
      <c r="D52" t="s">
        <v>61</v>
      </c>
      <c r="E52" t="s">
        <v>3</v>
      </c>
      <c r="F52" t="s">
        <v>219</v>
      </c>
      <c r="G52" s="2">
        <v>1</v>
      </c>
      <c r="H52" t="s">
        <v>32</v>
      </c>
      <c r="I52" t="s">
        <v>6</v>
      </c>
      <c r="J52" s="3">
        <v>500</v>
      </c>
      <c r="K52" t="s">
        <v>22</v>
      </c>
      <c r="L52" t="s">
        <v>220</v>
      </c>
      <c r="M52" s="4">
        <v>45218</v>
      </c>
    </row>
    <row r="53" spans="1:13" x14ac:dyDescent="0.25">
      <c r="A53">
        <v>56040544</v>
      </c>
      <c r="B53" t="s">
        <v>221</v>
      </c>
      <c r="C53" t="s">
        <v>222</v>
      </c>
      <c r="D53" t="s">
        <v>30</v>
      </c>
      <c r="E53" t="s">
        <v>3</v>
      </c>
      <c r="F53" t="s">
        <v>223</v>
      </c>
      <c r="G53" s="2">
        <v>1</v>
      </c>
      <c r="H53" t="s">
        <v>5</v>
      </c>
      <c r="I53" t="s">
        <v>77</v>
      </c>
      <c r="J53" s="3">
        <v>237900</v>
      </c>
      <c r="K53" t="s">
        <v>22</v>
      </c>
      <c r="L53" t="s">
        <v>224</v>
      </c>
      <c r="M53" s="4">
        <v>45243</v>
      </c>
    </row>
    <row r="54" spans="1:13" x14ac:dyDescent="0.25">
      <c r="A54">
        <v>56040546</v>
      </c>
      <c r="B54" t="s">
        <v>225</v>
      </c>
      <c r="C54" t="s">
        <v>226</v>
      </c>
      <c r="D54" t="s">
        <v>30</v>
      </c>
      <c r="E54" t="s">
        <v>3</v>
      </c>
      <c r="F54" t="s">
        <v>227</v>
      </c>
      <c r="G54" s="2">
        <v>3</v>
      </c>
      <c r="H54" t="s">
        <v>32</v>
      </c>
      <c r="I54" t="s">
        <v>77</v>
      </c>
      <c r="J54" s="3">
        <v>200155.74</v>
      </c>
      <c r="K54" t="s">
        <v>22</v>
      </c>
      <c r="L54" t="s">
        <v>228</v>
      </c>
      <c r="M54" s="4">
        <v>45230</v>
      </c>
    </row>
    <row r="55" spans="1:13" x14ac:dyDescent="0.25">
      <c r="A55">
        <v>56043667</v>
      </c>
      <c r="B55" t="s">
        <v>229</v>
      </c>
      <c r="C55" t="s">
        <v>230</v>
      </c>
      <c r="D55" t="s">
        <v>37</v>
      </c>
      <c r="E55" t="s">
        <v>3</v>
      </c>
      <c r="F55" t="s">
        <v>231</v>
      </c>
      <c r="G55" s="2">
        <v>750</v>
      </c>
      <c r="H55" t="s">
        <v>32</v>
      </c>
      <c r="I55" t="s">
        <v>25</v>
      </c>
      <c r="J55" s="3">
        <v>600</v>
      </c>
      <c r="K55" t="s">
        <v>22</v>
      </c>
      <c r="L55" t="s">
        <v>232</v>
      </c>
      <c r="M55" s="4">
        <v>45219</v>
      </c>
    </row>
    <row r="56" spans="1:13" x14ac:dyDescent="0.25">
      <c r="A56">
        <v>56043668</v>
      </c>
      <c r="B56" t="s">
        <v>233</v>
      </c>
      <c r="C56" t="s">
        <v>230</v>
      </c>
      <c r="D56" t="s">
        <v>37</v>
      </c>
      <c r="E56" t="s">
        <v>3</v>
      </c>
      <c r="F56" t="s">
        <v>231</v>
      </c>
      <c r="G56" s="2">
        <v>1</v>
      </c>
      <c r="H56" t="s">
        <v>32</v>
      </c>
      <c r="I56" t="s">
        <v>25</v>
      </c>
      <c r="J56" s="3">
        <v>9000</v>
      </c>
      <c r="K56" t="s">
        <v>22</v>
      </c>
      <c r="L56" t="s">
        <v>234</v>
      </c>
      <c r="M56" s="4">
        <v>45222</v>
      </c>
    </row>
    <row r="57" spans="1:13" x14ac:dyDescent="0.25">
      <c r="A57">
        <v>56043705</v>
      </c>
      <c r="B57" t="s">
        <v>235</v>
      </c>
      <c r="C57" t="s">
        <v>236</v>
      </c>
      <c r="D57" t="s">
        <v>237</v>
      </c>
      <c r="E57" t="s">
        <v>3</v>
      </c>
      <c r="F57" t="s">
        <v>238</v>
      </c>
      <c r="G57" s="2">
        <v>8</v>
      </c>
      <c r="H57" t="s">
        <v>239</v>
      </c>
      <c r="I57" t="s">
        <v>33</v>
      </c>
      <c r="J57" s="3">
        <v>1597.28</v>
      </c>
      <c r="K57" t="s">
        <v>22</v>
      </c>
      <c r="L57" t="s">
        <v>240</v>
      </c>
      <c r="M57" s="4">
        <v>45222</v>
      </c>
    </row>
    <row r="58" spans="1:13" x14ac:dyDescent="0.25">
      <c r="A58">
        <v>56043707</v>
      </c>
      <c r="B58" t="s">
        <v>241</v>
      </c>
      <c r="C58" t="s">
        <v>236</v>
      </c>
      <c r="D58" t="s">
        <v>237</v>
      </c>
      <c r="E58" t="s">
        <v>3</v>
      </c>
      <c r="F58" t="s">
        <v>242</v>
      </c>
      <c r="G58" s="2">
        <v>7</v>
      </c>
      <c r="H58" t="s">
        <v>239</v>
      </c>
      <c r="I58" t="s">
        <v>33</v>
      </c>
      <c r="J58" s="3">
        <v>3957.31</v>
      </c>
      <c r="K58" t="s">
        <v>22</v>
      </c>
      <c r="L58" t="s">
        <v>243</v>
      </c>
      <c r="M58" s="4">
        <v>45222</v>
      </c>
    </row>
    <row r="59" spans="1:13" x14ac:dyDescent="0.25">
      <c r="A59">
        <v>56043709</v>
      </c>
      <c r="B59" t="s">
        <v>244</v>
      </c>
      <c r="C59" t="s">
        <v>236</v>
      </c>
      <c r="D59" t="s">
        <v>245</v>
      </c>
      <c r="E59" t="s">
        <v>3</v>
      </c>
      <c r="F59" t="s">
        <v>246</v>
      </c>
      <c r="G59" s="2">
        <v>8</v>
      </c>
      <c r="H59" t="s">
        <v>239</v>
      </c>
      <c r="I59" t="s">
        <v>33</v>
      </c>
      <c r="J59" s="3">
        <v>2807.12</v>
      </c>
      <c r="K59" t="s">
        <v>22</v>
      </c>
      <c r="L59" t="s">
        <v>247</v>
      </c>
      <c r="M59" s="4">
        <v>45222</v>
      </c>
    </row>
    <row r="60" spans="1:13" x14ac:dyDescent="0.25">
      <c r="A60">
        <v>56094972</v>
      </c>
      <c r="B60" t="s">
        <v>248</v>
      </c>
      <c r="C60" t="s">
        <v>249</v>
      </c>
      <c r="D60" t="s">
        <v>30</v>
      </c>
      <c r="E60" t="s">
        <v>3</v>
      </c>
      <c r="F60" t="s">
        <v>250</v>
      </c>
      <c r="G60" s="2">
        <v>4</v>
      </c>
      <c r="H60" t="s">
        <v>32</v>
      </c>
      <c r="I60" t="s">
        <v>117</v>
      </c>
      <c r="J60" s="3">
        <v>0</v>
      </c>
      <c r="K60" t="s">
        <v>22</v>
      </c>
      <c r="L60" t="s">
        <v>22</v>
      </c>
      <c r="M60" s="4"/>
    </row>
    <row r="61" spans="1:13" x14ac:dyDescent="0.25">
      <c r="A61">
        <v>56097203</v>
      </c>
      <c r="B61" t="s">
        <v>251</v>
      </c>
      <c r="C61" t="s">
        <v>252</v>
      </c>
      <c r="D61" t="s">
        <v>253</v>
      </c>
      <c r="E61" t="s">
        <v>3</v>
      </c>
      <c r="F61" t="s">
        <v>254</v>
      </c>
      <c r="G61" s="2">
        <v>1</v>
      </c>
      <c r="H61" t="s">
        <v>32</v>
      </c>
      <c r="I61" t="s">
        <v>25</v>
      </c>
      <c r="J61" s="3">
        <v>1100</v>
      </c>
      <c r="K61" t="s">
        <v>22</v>
      </c>
      <c r="L61" t="s">
        <v>255</v>
      </c>
      <c r="M61" s="4">
        <v>45222</v>
      </c>
    </row>
    <row r="62" spans="1:13" x14ac:dyDescent="0.25">
      <c r="A62">
        <v>56097204</v>
      </c>
      <c r="B62" t="s">
        <v>256</v>
      </c>
      <c r="C62" t="s">
        <v>257</v>
      </c>
      <c r="D62" t="s">
        <v>215</v>
      </c>
      <c r="E62" t="s">
        <v>3</v>
      </c>
      <c r="F62" t="s">
        <v>258</v>
      </c>
      <c r="G62" s="2">
        <v>1</v>
      </c>
      <c r="H62" t="s">
        <v>32</v>
      </c>
      <c r="I62" t="s">
        <v>25</v>
      </c>
      <c r="J62" s="3">
        <v>2550</v>
      </c>
      <c r="K62" t="s">
        <v>22</v>
      </c>
      <c r="L62" t="s">
        <v>259</v>
      </c>
      <c r="M62" s="4">
        <v>45225</v>
      </c>
    </row>
    <row r="63" spans="1:13" x14ac:dyDescent="0.25">
      <c r="A63">
        <v>56097205</v>
      </c>
      <c r="B63" t="s">
        <v>260</v>
      </c>
      <c r="C63" t="s">
        <v>22</v>
      </c>
      <c r="D63" t="s">
        <v>2</v>
      </c>
      <c r="E63" t="s">
        <v>3</v>
      </c>
      <c r="F63" t="s">
        <v>261</v>
      </c>
      <c r="G63" s="2">
        <v>130</v>
      </c>
      <c r="H63" t="s">
        <v>32</v>
      </c>
      <c r="I63" t="s">
        <v>25</v>
      </c>
      <c r="J63" s="3">
        <v>0</v>
      </c>
      <c r="K63" t="s">
        <v>22</v>
      </c>
      <c r="L63" t="s">
        <v>22</v>
      </c>
      <c r="M63" s="4"/>
    </row>
    <row r="64" spans="1:13" x14ac:dyDescent="0.25">
      <c r="A64">
        <v>56097206</v>
      </c>
      <c r="B64" t="s">
        <v>262</v>
      </c>
      <c r="C64" t="s">
        <v>22</v>
      </c>
      <c r="D64" t="s">
        <v>263</v>
      </c>
      <c r="E64" t="s">
        <v>3</v>
      </c>
      <c r="F64" t="s">
        <v>264</v>
      </c>
      <c r="G64" s="2">
        <v>1</v>
      </c>
      <c r="H64" t="s">
        <v>5</v>
      </c>
      <c r="I64" t="s">
        <v>25</v>
      </c>
      <c r="J64" s="3">
        <v>2500</v>
      </c>
      <c r="K64" t="s">
        <v>265</v>
      </c>
      <c r="L64" t="s">
        <v>266</v>
      </c>
      <c r="M64" s="4">
        <v>45224</v>
      </c>
    </row>
    <row r="65" spans="1:13" x14ac:dyDescent="0.25">
      <c r="A65">
        <v>56097207</v>
      </c>
      <c r="B65" t="s">
        <v>267</v>
      </c>
      <c r="C65" t="s">
        <v>22</v>
      </c>
      <c r="D65" t="s">
        <v>263</v>
      </c>
      <c r="E65" t="s">
        <v>3</v>
      </c>
      <c r="F65" t="s">
        <v>268</v>
      </c>
      <c r="G65" s="2">
        <v>1</v>
      </c>
      <c r="H65" t="s">
        <v>5</v>
      </c>
      <c r="I65" t="s">
        <v>25</v>
      </c>
      <c r="J65" s="3">
        <v>500</v>
      </c>
      <c r="K65" t="s">
        <v>269</v>
      </c>
      <c r="L65" t="s">
        <v>270</v>
      </c>
      <c r="M65" s="4">
        <v>45224</v>
      </c>
    </row>
    <row r="66" spans="1:13" x14ac:dyDescent="0.25">
      <c r="A66">
        <v>56097208</v>
      </c>
      <c r="B66" t="s">
        <v>271</v>
      </c>
      <c r="C66" t="s">
        <v>272</v>
      </c>
      <c r="D66" t="s">
        <v>215</v>
      </c>
      <c r="E66" t="s">
        <v>3</v>
      </c>
      <c r="F66" t="s">
        <v>273</v>
      </c>
      <c r="G66" s="2">
        <v>1</v>
      </c>
      <c r="H66" t="s">
        <v>32</v>
      </c>
      <c r="I66" t="s">
        <v>6</v>
      </c>
      <c r="J66" s="3">
        <v>1012.5</v>
      </c>
      <c r="K66" t="s">
        <v>22</v>
      </c>
      <c r="L66" t="s">
        <v>274</v>
      </c>
      <c r="M66" s="4">
        <v>45229</v>
      </c>
    </row>
    <row r="67" spans="1:13" x14ac:dyDescent="0.25">
      <c r="A67">
        <v>56097210</v>
      </c>
      <c r="B67" t="s">
        <v>275</v>
      </c>
      <c r="C67" t="s">
        <v>276</v>
      </c>
      <c r="D67" t="s">
        <v>215</v>
      </c>
      <c r="E67" t="s">
        <v>3</v>
      </c>
      <c r="F67" t="s">
        <v>277</v>
      </c>
      <c r="G67" s="2">
        <v>1</v>
      </c>
      <c r="H67" t="s">
        <v>32</v>
      </c>
      <c r="I67" t="s">
        <v>6</v>
      </c>
      <c r="J67" s="3">
        <v>1658.16</v>
      </c>
      <c r="K67" t="s">
        <v>22</v>
      </c>
      <c r="L67" t="s">
        <v>278</v>
      </c>
      <c r="M67" s="4">
        <v>45229</v>
      </c>
    </row>
    <row r="68" spans="1:13" x14ac:dyDescent="0.25">
      <c r="A68">
        <v>56097211</v>
      </c>
      <c r="B68" t="s">
        <v>279</v>
      </c>
      <c r="C68" t="s">
        <v>36</v>
      </c>
      <c r="D68" t="s">
        <v>51</v>
      </c>
      <c r="E68" t="s">
        <v>3</v>
      </c>
      <c r="F68" t="s">
        <v>280</v>
      </c>
      <c r="G68" s="2">
        <v>92670</v>
      </c>
      <c r="H68" t="s">
        <v>32</v>
      </c>
      <c r="I68" t="s">
        <v>6</v>
      </c>
      <c r="J68" s="3">
        <v>92670</v>
      </c>
      <c r="K68" t="s">
        <v>22</v>
      </c>
      <c r="L68" t="s">
        <v>281</v>
      </c>
      <c r="M68" s="4">
        <v>45230</v>
      </c>
    </row>
    <row r="69" spans="1:13" x14ac:dyDescent="0.25">
      <c r="A69">
        <v>56097212</v>
      </c>
      <c r="B69" t="s">
        <v>282</v>
      </c>
      <c r="C69" t="s">
        <v>36</v>
      </c>
      <c r="D69" t="s">
        <v>51</v>
      </c>
      <c r="E69" t="s">
        <v>3</v>
      </c>
      <c r="F69" t="s">
        <v>283</v>
      </c>
      <c r="G69" s="2">
        <v>240942</v>
      </c>
      <c r="H69" t="s">
        <v>32</v>
      </c>
      <c r="I69" t="s">
        <v>6</v>
      </c>
      <c r="J69" s="3">
        <v>240942</v>
      </c>
      <c r="K69" t="s">
        <v>22</v>
      </c>
      <c r="L69" t="s">
        <v>284</v>
      </c>
      <c r="M69" s="4">
        <v>45230</v>
      </c>
    </row>
    <row r="70" spans="1:13" x14ac:dyDescent="0.25">
      <c r="A70">
        <v>56097213</v>
      </c>
      <c r="B70" t="s">
        <v>285</v>
      </c>
      <c r="C70" t="s">
        <v>36</v>
      </c>
      <c r="D70" t="s">
        <v>51</v>
      </c>
      <c r="E70" t="s">
        <v>3</v>
      </c>
      <c r="F70" t="s">
        <v>286</v>
      </c>
      <c r="G70" s="2">
        <v>166806</v>
      </c>
      <c r="H70" t="s">
        <v>32</v>
      </c>
      <c r="I70" t="s">
        <v>6</v>
      </c>
      <c r="J70" s="3">
        <v>166806</v>
      </c>
      <c r="K70" t="s">
        <v>22</v>
      </c>
      <c r="L70" t="s">
        <v>287</v>
      </c>
      <c r="M70" s="4">
        <v>45239</v>
      </c>
    </row>
    <row r="71" spans="1:13" x14ac:dyDescent="0.25">
      <c r="A71">
        <v>56097215</v>
      </c>
      <c r="B71" t="s">
        <v>288</v>
      </c>
      <c r="C71" t="s">
        <v>139</v>
      </c>
      <c r="D71" t="s">
        <v>289</v>
      </c>
      <c r="E71" t="s">
        <v>3</v>
      </c>
      <c r="F71" t="s">
        <v>290</v>
      </c>
      <c r="G71" s="2">
        <v>30000</v>
      </c>
      <c r="H71" t="s">
        <v>32</v>
      </c>
      <c r="I71" t="s">
        <v>6</v>
      </c>
      <c r="J71" s="3">
        <v>1447.5</v>
      </c>
      <c r="K71" t="s">
        <v>22</v>
      </c>
      <c r="L71" t="s">
        <v>291</v>
      </c>
      <c r="M71" s="4">
        <v>45232</v>
      </c>
    </row>
    <row r="72" spans="1:13" x14ac:dyDescent="0.25">
      <c r="A72">
        <v>56097216</v>
      </c>
      <c r="B72" t="s">
        <v>292</v>
      </c>
      <c r="C72" t="s">
        <v>293</v>
      </c>
      <c r="D72" t="s">
        <v>289</v>
      </c>
      <c r="E72" t="s">
        <v>3</v>
      </c>
      <c r="F72" t="s">
        <v>294</v>
      </c>
      <c r="G72" s="2">
        <v>64000</v>
      </c>
      <c r="H72" t="s">
        <v>13</v>
      </c>
      <c r="I72" t="s">
        <v>6</v>
      </c>
      <c r="J72" s="3">
        <v>22726.400000000001</v>
      </c>
      <c r="K72" t="s">
        <v>22</v>
      </c>
      <c r="L72" t="s">
        <v>295</v>
      </c>
      <c r="M72" s="4">
        <v>45239</v>
      </c>
    </row>
    <row r="73" spans="1:13" x14ac:dyDescent="0.25">
      <c r="A73">
        <v>56097254</v>
      </c>
      <c r="B73" t="s">
        <v>296</v>
      </c>
      <c r="C73" t="s">
        <v>297</v>
      </c>
      <c r="D73" t="s">
        <v>2</v>
      </c>
      <c r="E73" t="s">
        <v>3</v>
      </c>
      <c r="F73" t="s">
        <v>298</v>
      </c>
      <c r="G73" s="2">
        <v>300</v>
      </c>
      <c r="H73" t="s">
        <v>32</v>
      </c>
      <c r="I73" t="s">
        <v>25</v>
      </c>
      <c r="J73" s="3">
        <v>9900</v>
      </c>
      <c r="K73" t="s">
        <v>22</v>
      </c>
      <c r="L73" t="s">
        <v>299</v>
      </c>
      <c r="M73" s="4">
        <v>45231</v>
      </c>
    </row>
    <row r="74" spans="1:13" x14ac:dyDescent="0.25">
      <c r="A74">
        <v>56097258</v>
      </c>
      <c r="B74" t="s">
        <v>300</v>
      </c>
      <c r="C74" t="s">
        <v>65</v>
      </c>
      <c r="D74" t="s">
        <v>301</v>
      </c>
      <c r="E74" t="s">
        <v>3</v>
      </c>
      <c r="F74" t="s">
        <v>302</v>
      </c>
      <c r="G74" s="2">
        <v>1</v>
      </c>
      <c r="H74" t="s">
        <v>106</v>
      </c>
      <c r="I74" t="s">
        <v>25</v>
      </c>
      <c r="J74" s="3">
        <v>1500</v>
      </c>
      <c r="K74" t="s">
        <v>22</v>
      </c>
      <c r="L74" t="s">
        <v>303</v>
      </c>
      <c r="M74" s="4">
        <v>45223</v>
      </c>
    </row>
    <row r="75" spans="1:13" x14ac:dyDescent="0.25">
      <c r="A75">
        <v>56097273</v>
      </c>
      <c r="B75" t="s">
        <v>304</v>
      </c>
      <c r="C75" t="s">
        <v>305</v>
      </c>
      <c r="D75" t="s">
        <v>289</v>
      </c>
      <c r="E75" t="s">
        <v>3</v>
      </c>
      <c r="F75" t="s">
        <v>306</v>
      </c>
      <c r="G75" s="2">
        <v>14</v>
      </c>
      <c r="H75" t="s">
        <v>32</v>
      </c>
      <c r="I75" t="s">
        <v>6</v>
      </c>
      <c r="J75" s="3">
        <v>448</v>
      </c>
      <c r="K75" t="s">
        <v>22</v>
      </c>
      <c r="L75" t="s">
        <v>307</v>
      </c>
      <c r="M75" s="4">
        <v>45231</v>
      </c>
    </row>
    <row r="76" spans="1:13" x14ac:dyDescent="0.25">
      <c r="A76">
        <v>56097276</v>
      </c>
      <c r="B76" t="s">
        <v>308</v>
      </c>
      <c r="C76" t="s">
        <v>22</v>
      </c>
      <c r="D76" t="s">
        <v>148</v>
      </c>
      <c r="E76" t="s">
        <v>3</v>
      </c>
      <c r="F76" t="s">
        <v>309</v>
      </c>
      <c r="G76" s="2">
        <v>1</v>
      </c>
      <c r="H76" t="s">
        <v>32</v>
      </c>
      <c r="I76" t="s">
        <v>117</v>
      </c>
      <c r="J76" s="3">
        <v>33000</v>
      </c>
      <c r="K76" t="s">
        <v>22</v>
      </c>
      <c r="L76" t="s">
        <v>310</v>
      </c>
      <c r="M76" s="4">
        <v>45247</v>
      </c>
    </row>
    <row r="77" spans="1:13" x14ac:dyDescent="0.25">
      <c r="A77">
        <v>56097277</v>
      </c>
      <c r="B77" t="s">
        <v>311</v>
      </c>
      <c r="C77" t="s">
        <v>312</v>
      </c>
      <c r="D77" t="s">
        <v>289</v>
      </c>
      <c r="E77" t="s">
        <v>3</v>
      </c>
      <c r="F77" t="s">
        <v>313</v>
      </c>
      <c r="G77" s="2">
        <v>10</v>
      </c>
      <c r="H77" t="s">
        <v>5</v>
      </c>
      <c r="I77" t="s">
        <v>6</v>
      </c>
      <c r="J77" s="3">
        <v>0.3</v>
      </c>
      <c r="K77" t="s">
        <v>314</v>
      </c>
      <c r="L77" t="s">
        <v>315</v>
      </c>
      <c r="M77" s="4">
        <v>45232</v>
      </c>
    </row>
    <row r="78" spans="1:13" x14ac:dyDescent="0.25">
      <c r="A78">
        <v>56097278</v>
      </c>
      <c r="B78" t="s">
        <v>316</v>
      </c>
      <c r="C78" t="s">
        <v>317</v>
      </c>
      <c r="D78" t="s">
        <v>289</v>
      </c>
      <c r="E78" t="s">
        <v>3</v>
      </c>
      <c r="F78" t="s">
        <v>318</v>
      </c>
      <c r="G78" s="2">
        <v>75600</v>
      </c>
      <c r="H78" t="s">
        <v>32</v>
      </c>
      <c r="I78" t="s">
        <v>6</v>
      </c>
      <c r="J78" s="3">
        <v>786.24</v>
      </c>
      <c r="K78" t="s">
        <v>22</v>
      </c>
      <c r="L78" t="s">
        <v>319</v>
      </c>
      <c r="M78" s="4">
        <v>45232</v>
      </c>
    </row>
    <row r="79" spans="1:13" x14ac:dyDescent="0.25">
      <c r="A79">
        <v>56097294</v>
      </c>
      <c r="B79" t="s">
        <v>321</v>
      </c>
      <c r="C79" t="s">
        <v>322</v>
      </c>
      <c r="D79" t="s">
        <v>51</v>
      </c>
      <c r="E79" t="s">
        <v>3</v>
      </c>
      <c r="F79" t="s">
        <v>323</v>
      </c>
      <c r="G79" s="2">
        <v>1000</v>
      </c>
      <c r="H79" t="s">
        <v>32</v>
      </c>
      <c r="I79" t="s">
        <v>25</v>
      </c>
      <c r="J79" s="3">
        <v>2760</v>
      </c>
      <c r="K79" t="s">
        <v>22</v>
      </c>
      <c r="L79" t="s">
        <v>324</v>
      </c>
      <c r="M79" s="4">
        <v>45223</v>
      </c>
    </row>
    <row r="80" spans="1:13" x14ac:dyDescent="0.25">
      <c r="A80">
        <v>56097296</v>
      </c>
      <c r="B80" t="s">
        <v>325</v>
      </c>
      <c r="C80" t="s">
        <v>22</v>
      </c>
      <c r="D80" t="s">
        <v>155</v>
      </c>
      <c r="E80" t="s">
        <v>3</v>
      </c>
      <c r="F80" t="s">
        <v>159</v>
      </c>
      <c r="G80" s="2">
        <v>1</v>
      </c>
      <c r="H80" t="s">
        <v>5</v>
      </c>
      <c r="I80" t="s">
        <v>25</v>
      </c>
      <c r="J80" s="3">
        <v>1500</v>
      </c>
      <c r="K80" t="s">
        <v>160</v>
      </c>
      <c r="L80" t="s">
        <v>326</v>
      </c>
      <c r="M80" s="4">
        <v>45225</v>
      </c>
    </row>
    <row r="81" spans="1:13" x14ac:dyDescent="0.25">
      <c r="A81">
        <v>56097297</v>
      </c>
      <c r="B81" t="s">
        <v>327</v>
      </c>
      <c r="C81" t="s">
        <v>22</v>
      </c>
      <c r="D81" t="s">
        <v>155</v>
      </c>
      <c r="E81" t="s">
        <v>3</v>
      </c>
      <c r="F81" t="s">
        <v>328</v>
      </c>
      <c r="G81" s="2">
        <v>1</v>
      </c>
      <c r="H81" t="s">
        <v>5</v>
      </c>
      <c r="I81" t="s">
        <v>25</v>
      </c>
      <c r="J81" s="3">
        <v>1500</v>
      </c>
      <c r="K81" t="s">
        <v>22</v>
      </c>
      <c r="L81" t="s">
        <v>329</v>
      </c>
      <c r="M81" s="4">
        <v>45224</v>
      </c>
    </row>
    <row r="82" spans="1:13" x14ac:dyDescent="0.25">
      <c r="A82">
        <v>56097298</v>
      </c>
      <c r="B82" t="s">
        <v>330</v>
      </c>
      <c r="C82" t="s">
        <v>22</v>
      </c>
      <c r="D82" t="s">
        <v>155</v>
      </c>
      <c r="E82" t="s">
        <v>3</v>
      </c>
      <c r="F82" t="s">
        <v>331</v>
      </c>
      <c r="G82" s="2">
        <v>1</v>
      </c>
      <c r="H82" t="s">
        <v>5</v>
      </c>
      <c r="I82" t="s">
        <v>25</v>
      </c>
      <c r="J82" s="3">
        <v>2000</v>
      </c>
      <c r="K82" t="s">
        <v>332</v>
      </c>
      <c r="L82" t="s">
        <v>333</v>
      </c>
      <c r="M82" s="4">
        <v>45225</v>
      </c>
    </row>
    <row r="83" spans="1:13" x14ac:dyDescent="0.25">
      <c r="A83">
        <v>56097299</v>
      </c>
      <c r="B83" t="s">
        <v>334</v>
      </c>
      <c r="C83" t="s">
        <v>22</v>
      </c>
      <c r="D83" t="s">
        <v>155</v>
      </c>
      <c r="E83" t="s">
        <v>3</v>
      </c>
      <c r="F83" t="s">
        <v>335</v>
      </c>
      <c r="G83" s="2">
        <v>1</v>
      </c>
      <c r="H83" t="s">
        <v>5</v>
      </c>
      <c r="I83" t="s">
        <v>25</v>
      </c>
      <c r="J83" s="3">
        <v>1500</v>
      </c>
      <c r="K83" t="s">
        <v>336</v>
      </c>
      <c r="L83" t="s">
        <v>337</v>
      </c>
      <c r="M83" s="4">
        <v>45225</v>
      </c>
    </row>
    <row r="84" spans="1:13" x14ac:dyDescent="0.25">
      <c r="A84">
        <v>56097300</v>
      </c>
      <c r="B84" t="s">
        <v>338</v>
      </c>
      <c r="C84" t="s">
        <v>22</v>
      </c>
      <c r="D84" t="s">
        <v>155</v>
      </c>
      <c r="E84" t="s">
        <v>3</v>
      </c>
      <c r="F84" t="s">
        <v>335</v>
      </c>
      <c r="G84" s="2">
        <v>1</v>
      </c>
      <c r="H84" t="s">
        <v>5</v>
      </c>
      <c r="I84" t="s">
        <v>25</v>
      </c>
      <c r="J84" s="3">
        <v>1500</v>
      </c>
      <c r="K84" t="s">
        <v>336</v>
      </c>
      <c r="L84" t="s">
        <v>339</v>
      </c>
      <c r="M84" s="4">
        <v>45225</v>
      </c>
    </row>
    <row r="85" spans="1:13" x14ac:dyDescent="0.25">
      <c r="A85">
        <v>56097306</v>
      </c>
      <c r="B85" t="s">
        <v>340</v>
      </c>
      <c r="C85" t="s">
        <v>341</v>
      </c>
      <c r="D85" t="s">
        <v>342</v>
      </c>
      <c r="E85" t="s">
        <v>3</v>
      </c>
      <c r="F85" t="s">
        <v>343</v>
      </c>
      <c r="G85" s="2">
        <v>1</v>
      </c>
      <c r="H85" t="s">
        <v>5</v>
      </c>
      <c r="I85" t="s">
        <v>25</v>
      </c>
      <c r="J85" s="3">
        <v>450</v>
      </c>
      <c r="K85" t="s">
        <v>344</v>
      </c>
      <c r="L85" t="s">
        <v>345</v>
      </c>
      <c r="M85" s="4">
        <v>45224</v>
      </c>
    </row>
    <row r="86" spans="1:13" x14ac:dyDescent="0.25">
      <c r="A86">
        <v>56099211</v>
      </c>
      <c r="B86" t="s">
        <v>346</v>
      </c>
      <c r="C86" t="s">
        <v>347</v>
      </c>
      <c r="D86" t="s">
        <v>148</v>
      </c>
      <c r="E86" t="s">
        <v>3</v>
      </c>
      <c r="F86" t="s">
        <v>348</v>
      </c>
      <c r="G86" s="2">
        <v>1</v>
      </c>
      <c r="H86" t="s">
        <v>32</v>
      </c>
      <c r="I86" t="s">
        <v>117</v>
      </c>
      <c r="J86" s="3">
        <v>2340</v>
      </c>
      <c r="K86" t="s">
        <v>22</v>
      </c>
      <c r="L86" t="s">
        <v>349</v>
      </c>
      <c r="M86" s="4">
        <v>45224</v>
      </c>
    </row>
    <row r="87" spans="1:13" x14ac:dyDescent="0.25">
      <c r="A87">
        <v>56099228</v>
      </c>
      <c r="B87" t="s">
        <v>350</v>
      </c>
      <c r="C87" t="s">
        <v>351</v>
      </c>
      <c r="D87" t="s">
        <v>148</v>
      </c>
      <c r="E87" t="s">
        <v>3</v>
      </c>
      <c r="F87" t="s">
        <v>352</v>
      </c>
      <c r="G87" s="2">
        <v>1</v>
      </c>
      <c r="H87" t="s">
        <v>32</v>
      </c>
      <c r="I87" t="s">
        <v>117</v>
      </c>
      <c r="J87" s="3">
        <v>848</v>
      </c>
      <c r="K87" t="s">
        <v>22</v>
      </c>
      <c r="L87" t="s">
        <v>353</v>
      </c>
      <c r="M87" s="4">
        <v>45223</v>
      </c>
    </row>
    <row r="88" spans="1:13" x14ac:dyDescent="0.25">
      <c r="A88">
        <v>56099234</v>
      </c>
      <c r="B88" t="s">
        <v>354</v>
      </c>
      <c r="C88" t="s">
        <v>65</v>
      </c>
      <c r="D88" t="s">
        <v>61</v>
      </c>
      <c r="E88" t="s">
        <v>3</v>
      </c>
      <c r="F88" t="s">
        <v>355</v>
      </c>
      <c r="G88" s="2">
        <v>1</v>
      </c>
      <c r="H88" t="s">
        <v>32</v>
      </c>
      <c r="I88" t="s">
        <v>6</v>
      </c>
      <c r="J88" s="3">
        <v>500</v>
      </c>
      <c r="K88" t="s">
        <v>22</v>
      </c>
      <c r="L88" t="s">
        <v>356</v>
      </c>
      <c r="M88" s="4">
        <v>45223</v>
      </c>
    </row>
    <row r="89" spans="1:13" x14ac:dyDescent="0.25">
      <c r="A89">
        <v>56099235</v>
      </c>
      <c r="B89" t="s">
        <v>357</v>
      </c>
      <c r="C89" t="s">
        <v>358</v>
      </c>
      <c r="D89" t="s">
        <v>37</v>
      </c>
      <c r="E89" t="s">
        <v>3</v>
      </c>
      <c r="F89" t="s">
        <v>359</v>
      </c>
      <c r="G89" s="2">
        <v>20</v>
      </c>
      <c r="H89" t="s">
        <v>32</v>
      </c>
      <c r="I89" t="s">
        <v>6</v>
      </c>
      <c r="J89" s="3">
        <v>258</v>
      </c>
      <c r="K89" t="s">
        <v>22</v>
      </c>
      <c r="L89" t="s">
        <v>360</v>
      </c>
      <c r="M89" s="4">
        <v>45229</v>
      </c>
    </row>
    <row r="90" spans="1:13" x14ac:dyDescent="0.25">
      <c r="A90">
        <v>56099237</v>
      </c>
      <c r="B90" t="s">
        <v>361</v>
      </c>
      <c r="C90" t="s">
        <v>22</v>
      </c>
      <c r="D90" t="s">
        <v>263</v>
      </c>
      <c r="E90" t="s">
        <v>3</v>
      </c>
      <c r="F90" t="s">
        <v>362</v>
      </c>
      <c r="G90" s="2">
        <v>1</v>
      </c>
      <c r="H90" t="s">
        <v>5</v>
      </c>
      <c r="I90" t="s">
        <v>25</v>
      </c>
      <c r="J90" s="3">
        <v>2400.6999999999998</v>
      </c>
      <c r="K90" t="s">
        <v>363</v>
      </c>
      <c r="L90" t="s">
        <v>364</v>
      </c>
      <c r="M90" s="4">
        <v>45223</v>
      </c>
    </row>
    <row r="91" spans="1:13" x14ac:dyDescent="0.25">
      <c r="A91">
        <v>56099268</v>
      </c>
      <c r="B91" t="s">
        <v>365</v>
      </c>
      <c r="C91" t="s">
        <v>366</v>
      </c>
      <c r="D91" t="s">
        <v>41</v>
      </c>
      <c r="E91" t="s">
        <v>3</v>
      </c>
      <c r="F91" t="s">
        <v>367</v>
      </c>
      <c r="G91" s="2">
        <v>1</v>
      </c>
      <c r="H91" t="s">
        <v>106</v>
      </c>
      <c r="I91" t="s">
        <v>6</v>
      </c>
      <c r="J91" s="3">
        <v>750</v>
      </c>
      <c r="K91" t="s">
        <v>22</v>
      </c>
      <c r="L91" t="s">
        <v>368</v>
      </c>
      <c r="M91" s="4">
        <v>45232</v>
      </c>
    </row>
    <row r="92" spans="1:13" x14ac:dyDescent="0.25">
      <c r="A92">
        <v>56099274</v>
      </c>
      <c r="B92" t="s">
        <v>369</v>
      </c>
      <c r="C92" t="s">
        <v>370</v>
      </c>
      <c r="D92" t="s">
        <v>96</v>
      </c>
      <c r="E92" t="s">
        <v>3</v>
      </c>
      <c r="F92" t="s">
        <v>371</v>
      </c>
      <c r="G92" s="2">
        <v>1</v>
      </c>
      <c r="H92" t="s">
        <v>32</v>
      </c>
      <c r="I92" t="s">
        <v>6</v>
      </c>
      <c r="J92" s="3">
        <v>64000</v>
      </c>
      <c r="K92" t="s">
        <v>22</v>
      </c>
      <c r="L92" t="s">
        <v>372</v>
      </c>
      <c r="M92" s="4">
        <v>45299</v>
      </c>
    </row>
    <row r="93" spans="1:13" x14ac:dyDescent="0.25">
      <c r="A93">
        <v>56099275</v>
      </c>
      <c r="B93" t="s">
        <v>373</v>
      </c>
      <c r="C93" t="s">
        <v>374</v>
      </c>
      <c r="D93" t="s">
        <v>51</v>
      </c>
      <c r="E93" t="s">
        <v>3</v>
      </c>
      <c r="F93" t="s">
        <v>375</v>
      </c>
      <c r="G93" s="2">
        <v>1400</v>
      </c>
      <c r="H93" t="s">
        <v>32</v>
      </c>
      <c r="I93" t="s">
        <v>6</v>
      </c>
      <c r="J93" s="3">
        <v>294</v>
      </c>
      <c r="K93" t="s">
        <v>22</v>
      </c>
      <c r="L93" t="s">
        <v>376</v>
      </c>
      <c r="M93" s="4">
        <v>45230</v>
      </c>
    </row>
    <row r="94" spans="1:13" x14ac:dyDescent="0.25">
      <c r="A94">
        <v>56099278</v>
      </c>
      <c r="B94" t="s">
        <v>377</v>
      </c>
      <c r="C94" t="s">
        <v>11</v>
      </c>
      <c r="D94" t="s">
        <v>75</v>
      </c>
      <c r="E94" t="s">
        <v>3</v>
      </c>
      <c r="F94" t="s">
        <v>378</v>
      </c>
      <c r="G94" s="2">
        <v>16500</v>
      </c>
      <c r="H94" t="s">
        <v>13</v>
      </c>
      <c r="I94" t="s">
        <v>6</v>
      </c>
      <c r="J94" s="3">
        <v>681.62</v>
      </c>
      <c r="K94" t="s">
        <v>22</v>
      </c>
      <c r="L94" t="s">
        <v>379</v>
      </c>
      <c r="M94" s="4">
        <v>45225</v>
      </c>
    </row>
    <row r="95" spans="1:13" x14ac:dyDescent="0.25">
      <c r="A95">
        <v>56099279</v>
      </c>
      <c r="B95" t="s">
        <v>380</v>
      </c>
      <c r="C95" t="s">
        <v>11</v>
      </c>
      <c r="D95" t="s">
        <v>75</v>
      </c>
      <c r="E95" t="s">
        <v>3</v>
      </c>
      <c r="F95" t="s">
        <v>381</v>
      </c>
      <c r="G95" s="2">
        <v>3600</v>
      </c>
      <c r="H95" t="s">
        <v>13</v>
      </c>
      <c r="I95" t="s">
        <v>6</v>
      </c>
      <c r="J95" s="3">
        <v>1204.96</v>
      </c>
      <c r="K95" t="s">
        <v>22</v>
      </c>
      <c r="L95" t="s">
        <v>382</v>
      </c>
      <c r="M95" s="4">
        <v>45225</v>
      </c>
    </row>
    <row r="96" spans="1:13" x14ac:dyDescent="0.25">
      <c r="A96">
        <v>56099280</v>
      </c>
      <c r="B96" t="s">
        <v>383</v>
      </c>
      <c r="C96" t="s">
        <v>11</v>
      </c>
      <c r="D96" t="s">
        <v>75</v>
      </c>
      <c r="E96" t="s">
        <v>3</v>
      </c>
      <c r="F96" t="s">
        <v>384</v>
      </c>
      <c r="G96" s="2">
        <v>3300</v>
      </c>
      <c r="H96" t="s">
        <v>13</v>
      </c>
      <c r="I96" t="s">
        <v>6</v>
      </c>
      <c r="J96" s="3">
        <v>815.79</v>
      </c>
      <c r="K96" t="s">
        <v>22</v>
      </c>
      <c r="L96" t="s">
        <v>385</v>
      </c>
      <c r="M96" s="4">
        <v>45225</v>
      </c>
    </row>
    <row r="97" spans="1:13" x14ac:dyDescent="0.25">
      <c r="A97">
        <v>56100994</v>
      </c>
      <c r="B97" t="s">
        <v>386</v>
      </c>
      <c r="C97" t="s">
        <v>147</v>
      </c>
      <c r="D97" t="s">
        <v>148</v>
      </c>
      <c r="E97" t="s">
        <v>3</v>
      </c>
      <c r="F97" t="s">
        <v>387</v>
      </c>
      <c r="G97" s="2">
        <v>1</v>
      </c>
      <c r="H97" t="s">
        <v>32</v>
      </c>
      <c r="I97" t="s">
        <v>117</v>
      </c>
      <c r="J97" s="3">
        <v>81</v>
      </c>
      <c r="K97" t="s">
        <v>22</v>
      </c>
      <c r="L97" t="s">
        <v>388</v>
      </c>
      <c r="M97" s="4">
        <v>45233</v>
      </c>
    </row>
    <row r="98" spans="1:13" x14ac:dyDescent="0.25">
      <c r="A98">
        <v>56101190</v>
      </c>
      <c r="B98" t="s">
        <v>389</v>
      </c>
      <c r="C98" t="s">
        <v>390</v>
      </c>
      <c r="D98" t="s">
        <v>75</v>
      </c>
      <c r="E98" t="s">
        <v>3</v>
      </c>
      <c r="F98" t="s">
        <v>391</v>
      </c>
      <c r="G98" s="2">
        <v>1</v>
      </c>
      <c r="H98" t="s">
        <v>5</v>
      </c>
      <c r="I98" t="s">
        <v>6</v>
      </c>
      <c r="J98" s="3">
        <v>3360</v>
      </c>
      <c r="K98" t="s">
        <v>22</v>
      </c>
      <c r="L98" t="s">
        <v>392</v>
      </c>
      <c r="M98" s="4">
        <v>45232</v>
      </c>
    </row>
    <row r="99" spans="1:13" x14ac:dyDescent="0.25">
      <c r="A99">
        <v>56101191</v>
      </c>
      <c r="B99" t="s">
        <v>393</v>
      </c>
      <c r="C99" t="s">
        <v>163</v>
      </c>
      <c r="D99" t="s">
        <v>51</v>
      </c>
      <c r="E99" t="s">
        <v>3</v>
      </c>
      <c r="F99" t="s">
        <v>394</v>
      </c>
      <c r="G99" s="2">
        <v>22145</v>
      </c>
      <c r="H99" t="s">
        <v>32</v>
      </c>
      <c r="I99" t="s">
        <v>117</v>
      </c>
      <c r="J99" s="3">
        <v>22145</v>
      </c>
      <c r="K99" t="s">
        <v>22</v>
      </c>
      <c r="L99" t="s">
        <v>395</v>
      </c>
      <c r="M99" s="4">
        <v>45229</v>
      </c>
    </row>
    <row r="100" spans="1:13" x14ac:dyDescent="0.25">
      <c r="A100">
        <v>56101193</v>
      </c>
      <c r="B100" t="s">
        <v>396</v>
      </c>
      <c r="C100" t="s">
        <v>397</v>
      </c>
      <c r="D100" t="s">
        <v>41</v>
      </c>
      <c r="E100" t="s">
        <v>3</v>
      </c>
      <c r="F100" t="s">
        <v>398</v>
      </c>
      <c r="G100" s="2">
        <v>1</v>
      </c>
      <c r="H100" t="s">
        <v>32</v>
      </c>
      <c r="I100" t="s">
        <v>25</v>
      </c>
      <c r="J100" s="3">
        <v>1630</v>
      </c>
      <c r="K100" t="s">
        <v>22</v>
      </c>
      <c r="L100" t="s">
        <v>399</v>
      </c>
      <c r="M100" s="4">
        <v>45225</v>
      </c>
    </row>
    <row r="101" spans="1:13" x14ac:dyDescent="0.25">
      <c r="A101">
        <v>56101195</v>
      </c>
      <c r="B101" t="s">
        <v>400</v>
      </c>
      <c r="C101" t="s">
        <v>22</v>
      </c>
      <c r="D101" t="s">
        <v>155</v>
      </c>
      <c r="E101" t="s">
        <v>3</v>
      </c>
      <c r="F101" t="s">
        <v>401</v>
      </c>
      <c r="G101" s="2">
        <v>1</v>
      </c>
      <c r="H101" t="s">
        <v>5</v>
      </c>
      <c r="I101" t="s">
        <v>25</v>
      </c>
      <c r="J101" s="3">
        <v>1500</v>
      </c>
      <c r="K101" t="s">
        <v>402</v>
      </c>
      <c r="L101" t="s">
        <v>403</v>
      </c>
      <c r="M101" s="4">
        <v>45225</v>
      </c>
    </row>
    <row r="102" spans="1:13" x14ac:dyDescent="0.25">
      <c r="A102">
        <v>56101272</v>
      </c>
      <c r="B102" t="s">
        <v>404</v>
      </c>
      <c r="C102" t="s">
        <v>22</v>
      </c>
      <c r="D102" t="s">
        <v>155</v>
      </c>
      <c r="E102" t="s">
        <v>3</v>
      </c>
      <c r="F102" t="s">
        <v>405</v>
      </c>
      <c r="G102" s="2">
        <v>1</v>
      </c>
      <c r="H102" t="s">
        <v>5</v>
      </c>
      <c r="I102" t="s">
        <v>25</v>
      </c>
      <c r="J102" s="3">
        <v>1500</v>
      </c>
      <c r="K102" t="s">
        <v>22</v>
      </c>
      <c r="L102" t="s">
        <v>406</v>
      </c>
      <c r="M102" s="4">
        <v>45225</v>
      </c>
    </row>
    <row r="103" spans="1:13" x14ac:dyDescent="0.25">
      <c r="A103">
        <v>56101273</v>
      </c>
      <c r="B103" t="s">
        <v>407</v>
      </c>
      <c r="C103" t="s">
        <v>22</v>
      </c>
      <c r="D103" t="s">
        <v>155</v>
      </c>
      <c r="E103" t="s">
        <v>3</v>
      </c>
      <c r="F103" t="s">
        <v>408</v>
      </c>
      <c r="G103" s="2">
        <v>1</v>
      </c>
      <c r="H103" t="s">
        <v>5</v>
      </c>
      <c r="I103" t="s">
        <v>25</v>
      </c>
      <c r="J103" s="3">
        <v>1500</v>
      </c>
      <c r="K103" t="s">
        <v>409</v>
      </c>
      <c r="L103" t="s">
        <v>410</v>
      </c>
      <c r="M103" s="4">
        <v>45225</v>
      </c>
    </row>
    <row r="104" spans="1:13" x14ac:dyDescent="0.25">
      <c r="A104">
        <v>56101274</v>
      </c>
      <c r="B104" t="s">
        <v>411</v>
      </c>
      <c r="C104" t="s">
        <v>257</v>
      </c>
      <c r="D104" t="s">
        <v>2</v>
      </c>
      <c r="E104" t="s">
        <v>3</v>
      </c>
      <c r="F104" t="s">
        <v>412</v>
      </c>
      <c r="G104" s="2">
        <v>9</v>
      </c>
      <c r="H104" t="s">
        <v>32</v>
      </c>
      <c r="I104" t="s">
        <v>25</v>
      </c>
      <c r="J104" s="3">
        <v>4455</v>
      </c>
      <c r="K104" t="s">
        <v>22</v>
      </c>
      <c r="L104" t="s">
        <v>413</v>
      </c>
      <c r="M104" s="4">
        <v>45225</v>
      </c>
    </row>
    <row r="105" spans="1:13" x14ac:dyDescent="0.25">
      <c r="A105">
        <v>56101275</v>
      </c>
      <c r="B105" t="s">
        <v>414</v>
      </c>
      <c r="C105" t="s">
        <v>257</v>
      </c>
      <c r="D105" t="s">
        <v>2</v>
      </c>
      <c r="E105" t="s">
        <v>3</v>
      </c>
      <c r="F105" t="s">
        <v>415</v>
      </c>
      <c r="G105" s="2">
        <v>1</v>
      </c>
      <c r="H105" t="s">
        <v>32</v>
      </c>
      <c r="I105" t="s">
        <v>25</v>
      </c>
      <c r="J105" s="3">
        <v>124</v>
      </c>
      <c r="K105" t="s">
        <v>22</v>
      </c>
      <c r="L105" t="s">
        <v>416</v>
      </c>
      <c r="M105" s="4">
        <v>45225</v>
      </c>
    </row>
    <row r="106" spans="1:13" x14ac:dyDescent="0.25">
      <c r="A106">
        <v>56101276</v>
      </c>
      <c r="B106" t="s">
        <v>417</v>
      </c>
      <c r="C106" t="s">
        <v>257</v>
      </c>
      <c r="D106" t="s">
        <v>215</v>
      </c>
      <c r="E106" t="s">
        <v>3</v>
      </c>
      <c r="F106" t="s">
        <v>418</v>
      </c>
      <c r="G106" s="2">
        <v>1</v>
      </c>
      <c r="H106" t="s">
        <v>32</v>
      </c>
      <c r="I106" t="s">
        <v>25</v>
      </c>
      <c r="J106" s="3">
        <v>9800</v>
      </c>
      <c r="K106" t="s">
        <v>22</v>
      </c>
      <c r="L106" t="s">
        <v>419</v>
      </c>
      <c r="M106" s="4">
        <v>45231</v>
      </c>
    </row>
    <row r="107" spans="1:13" x14ac:dyDescent="0.25">
      <c r="A107">
        <v>56101277</v>
      </c>
      <c r="B107" t="s">
        <v>420</v>
      </c>
      <c r="C107" t="s">
        <v>83</v>
      </c>
      <c r="D107" t="s">
        <v>2</v>
      </c>
      <c r="E107" t="s">
        <v>3</v>
      </c>
      <c r="F107" t="s">
        <v>421</v>
      </c>
      <c r="G107" s="2">
        <v>1</v>
      </c>
      <c r="H107" t="s">
        <v>32</v>
      </c>
      <c r="I107" t="s">
        <v>25</v>
      </c>
      <c r="J107" s="3">
        <v>2510</v>
      </c>
      <c r="K107" t="s">
        <v>22</v>
      </c>
      <c r="L107" t="s">
        <v>422</v>
      </c>
      <c r="M107" s="4">
        <v>45225</v>
      </c>
    </row>
    <row r="108" spans="1:13" x14ac:dyDescent="0.25">
      <c r="A108">
        <v>56101278</v>
      </c>
      <c r="B108" t="s">
        <v>423</v>
      </c>
      <c r="C108" t="s">
        <v>424</v>
      </c>
      <c r="D108" t="s">
        <v>46</v>
      </c>
      <c r="E108" t="s">
        <v>3</v>
      </c>
      <c r="F108" t="s">
        <v>425</v>
      </c>
      <c r="G108" s="2">
        <v>1</v>
      </c>
      <c r="H108" t="s">
        <v>32</v>
      </c>
      <c r="I108" t="s">
        <v>25</v>
      </c>
      <c r="J108" s="3">
        <v>2036.25</v>
      </c>
      <c r="K108" t="s">
        <v>22</v>
      </c>
      <c r="L108" t="s">
        <v>426</v>
      </c>
      <c r="M108" s="4">
        <v>45229</v>
      </c>
    </row>
    <row r="109" spans="1:13" x14ac:dyDescent="0.25">
      <c r="A109">
        <v>56101279</v>
      </c>
      <c r="B109" t="s">
        <v>427</v>
      </c>
      <c r="C109" t="s">
        <v>390</v>
      </c>
      <c r="D109" t="s">
        <v>51</v>
      </c>
      <c r="E109" t="s">
        <v>3</v>
      </c>
      <c r="F109" t="s">
        <v>428</v>
      </c>
      <c r="G109" s="2">
        <v>800</v>
      </c>
      <c r="H109" t="s">
        <v>32</v>
      </c>
      <c r="I109" t="s">
        <v>25</v>
      </c>
      <c r="J109" s="3">
        <v>1344</v>
      </c>
      <c r="K109" t="s">
        <v>22</v>
      </c>
      <c r="L109" t="s">
        <v>429</v>
      </c>
      <c r="M109" s="4">
        <v>45226</v>
      </c>
    </row>
    <row r="110" spans="1:13" x14ac:dyDescent="0.25">
      <c r="A110">
        <v>56101280</v>
      </c>
      <c r="B110" t="s">
        <v>430</v>
      </c>
      <c r="C110" t="s">
        <v>431</v>
      </c>
      <c r="D110" t="s">
        <v>37</v>
      </c>
      <c r="E110" t="s">
        <v>3</v>
      </c>
      <c r="F110" t="s">
        <v>432</v>
      </c>
      <c r="G110" s="2">
        <v>100</v>
      </c>
      <c r="H110" t="s">
        <v>32</v>
      </c>
      <c r="I110" t="s">
        <v>25</v>
      </c>
      <c r="J110" s="3">
        <v>200</v>
      </c>
      <c r="K110" t="s">
        <v>22</v>
      </c>
      <c r="L110" t="s">
        <v>433</v>
      </c>
      <c r="M110" s="4">
        <v>45226</v>
      </c>
    </row>
    <row r="111" spans="1:13" x14ac:dyDescent="0.25">
      <c r="A111">
        <v>56101281</v>
      </c>
      <c r="B111" t="s">
        <v>434</v>
      </c>
      <c r="C111" t="s">
        <v>435</v>
      </c>
      <c r="D111" t="s">
        <v>2</v>
      </c>
      <c r="E111" t="s">
        <v>3</v>
      </c>
      <c r="F111" t="s">
        <v>436</v>
      </c>
      <c r="G111" s="2">
        <v>1</v>
      </c>
      <c r="H111" t="s">
        <v>32</v>
      </c>
      <c r="I111" t="s">
        <v>25</v>
      </c>
      <c r="J111" s="3">
        <v>850</v>
      </c>
      <c r="K111" t="s">
        <v>22</v>
      </c>
      <c r="L111" t="s">
        <v>437</v>
      </c>
      <c r="M111" s="4">
        <v>45226</v>
      </c>
    </row>
    <row r="112" spans="1:13" x14ac:dyDescent="0.25">
      <c r="A112">
        <v>56101292</v>
      </c>
      <c r="B112" t="s">
        <v>438</v>
      </c>
      <c r="C112" t="s">
        <v>257</v>
      </c>
      <c r="D112" t="s">
        <v>75</v>
      </c>
      <c r="E112" t="s">
        <v>3</v>
      </c>
      <c r="F112" t="s">
        <v>439</v>
      </c>
      <c r="G112" s="2">
        <v>150</v>
      </c>
      <c r="H112" t="s">
        <v>5</v>
      </c>
      <c r="I112" t="s">
        <v>25</v>
      </c>
      <c r="J112" s="3">
        <v>1080</v>
      </c>
      <c r="K112" t="s">
        <v>22</v>
      </c>
      <c r="L112" t="s">
        <v>440</v>
      </c>
      <c r="M112" s="4">
        <v>45229</v>
      </c>
    </row>
    <row r="113" spans="1:13" x14ac:dyDescent="0.25">
      <c r="A113">
        <v>56101293</v>
      </c>
      <c r="B113" t="s">
        <v>441</v>
      </c>
      <c r="C113" t="s">
        <v>65</v>
      </c>
      <c r="D113" t="s">
        <v>301</v>
      </c>
      <c r="E113" t="s">
        <v>3</v>
      </c>
      <c r="F113" t="s">
        <v>442</v>
      </c>
      <c r="G113" s="2">
        <v>1</v>
      </c>
      <c r="H113" t="s">
        <v>106</v>
      </c>
      <c r="I113" t="s">
        <v>25</v>
      </c>
      <c r="J113" s="3">
        <v>1736</v>
      </c>
      <c r="K113" t="s">
        <v>22</v>
      </c>
      <c r="L113" t="s">
        <v>443</v>
      </c>
      <c r="M113" s="4">
        <v>45226</v>
      </c>
    </row>
    <row r="114" spans="1:13" x14ac:dyDescent="0.25">
      <c r="A114">
        <v>56101298</v>
      </c>
      <c r="B114" t="s">
        <v>444</v>
      </c>
      <c r="C114" t="s">
        <v>147</v>
      </c>
      <c r="D114" t="s">
        <v>148</v>
      </c>
      <c r="E114" t="s">
        <v>3</v>
      </c>
      <c r="F114" t="s">
        <v>445</v>
      </c>
      <c r="G114" s="2">
        <v>3</v>
      </c>
      <c r="H114" t="s">
        <v>32</v>
      </c>
      <c r="I114" t="s">
        <v>117</v>
      </c>
      <c r="J114" s="3">
        <v>938.88</v>
      </c>
      <c r="K114" t="s">
        <v>22</v>
      </c>
      <c r="L114" t="s">
        <v>446</v>
      </c>
      <c r="M114" s="4">
        <v>45225</v>
      </c>
    </row>
    <row r="115" spans="1:13" x14ac:dyDescent="0.25">
      <c r="A115">
        <v>56102084</v>
      </c>
      <c r="B115" t="s">
        <v>447</v>
      </c>
      <c r="C115" t="s">
        <v>448</v>
      </c>
      <c r="D115" t="s">
        <v>210</v>
      </c>
      <c r="E115" t="s">
        <v>3</v>
      </c>
      <c r="F115" t="s">
        <v>449</v>
      </c>
      <c r="G115" s="2">
        <v>2</v>
      </c>
      <c r="H115" t="s">
        <v>32</v>
      </c>
      <c r="I115" t="s">
        <v>117</v>
      </c>
      <c r="J115" s="3">
        <v>5208.7</v>
      </c>
      <c r="K115" t="s">
        <v>22</v>
      </c>
      <c r="L115" t="s">
        <v>450</v>
      </c>
      <c r="M115" s="4">
        <v>45225</v>
      </c>
    </row>
    <row r="116" spans="1:13" x14ac:dyDescent="0.25">
      <c r="A116">
        <v>56102085</v>
      </c>
      <c r="B116" t="s">
        <v>451</v>
      </c>
      <c r="C116" t="s">
        <v>452</v>
      </c>
      <c r="D116" t="s">
        <v>210</v>
      </c>
      <c r="E116" t="s">
        <v>3</v>
      </c>
      <c r="F116" t="s">
        <v>453</v>
      </c>
      <c r="G116" s="2">
        <v>3</v>
      </c>
      <c r="H116" t="s">
        <v>32</v>
      </c>
      <c r="I116" t="s">
        <v>117</v>
      </c>
      <c r="J116" s="3">
        <v>65916.39</v>
      </c>
      <c r="K116" t="s">
        <v>22</v>
      </c>
      <c r="L116" t="s">
        <v>454</v>
      </c>
      <c r="M116" s="4">
        <v>45225</v>
      </c>
    </row>
    <row r="117" spans="1:13" x14ac:dyDescent="0.25">
      <c r="A117">
        <v>56102086</v>
      </c>
      <c r="B117" t="s">
        <v>455</v>
      </c>
      <c r="C117" t="s">
        <v>456</v>
      </c>
      <c r="D117" t="s">
        <v>210</v>
      </c>
      <c r="E117" t="s">
        <v>3</v>
      </c>
      <c r="F117" t="s">
        <v>457</v>
      </c>
      <c r="G117" s="2">
        <v>1</v>
      </c>
      <c r="H117" t="s">
        <v>32</v>
      </c>
      <c r="I117" t="s">
        <v>117</v>
      </c>
      <c r="J117" s="3">
        <v>19433.5</v>
      </c>
      <c r="K117" t="s">
        <v>22</v>
      </c>
      <c r="L117" t="s">
        <v>458</v>
      </c>
      <c r="M117" s="4">
        <v>45225</v>
      </c>
    </row>
    <row r="118" spans="1:13" x14ac:dyDescent="0.25">
      <c r="A118">
        <v>56102601</v>
      </c>
      <c r="B118" t="s">
        <v>459</v>
      </c>
      <c r="C118" t="s">
        <v>22</v>
      </c>
      <c r="D118" t="s">
        <v>245</v>
      </c>
      <c r="E118" t="s">
        <v>3</v>
      </c>
      <c r="F118" t="s">
        <v>460</v>
      </c>
      <c r="G118" s="2">
        <v>1</v>
      </c>
      <c r="H118" t="s">
        <v>5</v>
      </c>
      <c r="I118" t="s">
        <v>33</v>
      </c>
      <c r="J118" s="3">
        <v>0</v>
      </c>
      <c r="K118" t="s">
        <v>461</v>
      </c>
      <c r="L118" t="s">
        <v>462</v>
      </c>
      <c r="M118" s="4">
        <v>45252</v>
      </c>
    </row>
    <row r="119" spans="1:13" x14ac:dyDescent="0.25">
      <c r="A119">
        <v>56104935</v>
      </c>
      <c r="B119" t="s">
        <v>463</v>
      </c>
      <c r="C119" t="s">
        <v>163</v>
      </c>
      <c r="D119" t="s">
        <v>30</v>
      </c>
      <c r="E119" t="s">
        <v>3</v>
      </c>
      <c r="F119" t="s">
        <v>464</v>
      </c>
      <c r="G119" s="2">
        <v>1</v>
      </c>
      <c r="H119" t="s">
        <v>32</v>
      </c>
      <c r="I119" t="s">
        <v>117</v>
      </c>
      <c r="J119" s="3">
        <v>4090</v>
      </c>
      <c r="K119" t="s">
        <v>22</v>
      </c>
      <c r="L119" t="s">
        <v>465</v>
      </c>
      <c r="M119" s="4">
        <v>45233</v>
      </c>
    </row>
    <row r="120" spans="1:13" x14ac:dyDescent="0.25">
      <c r="A120">
        <v>56104936</v>
      </c>
      <c r="B120" t="s">
        <v>466</v>
      </c>
      <c r="C120" t="s">
        <v>65</v>
      </c>
      <c r="D120" t="s">
        <v>61</v>
      </c>
      <c r="E120" t="s">
        <v>3</v>
      </c>
      <c r="F120" t="s">
        <v>467</v>
      </c>
      <c r="G120" s="2">
        <v>1</v>
      </c>
      <c r="H120" t="s">
        <v>32</v>
      </c>
      <c r="I120" t="s">
        <v>6</v>
      </c>
      <c r="J120" s="3">
        <v>500</v>
      </c>
      <c r="K120" t="s">
        <v>22</v>
      </c>
      <c r="L120" t="s">
        <v>468</v>
      </c>
      <c r="M120" s="4">
        <v>45225</v>
      </c>
    </row>
    <row r="121" spans="1:13" x14ac:dyDescent="0.25">
      <c r="A121">
        <v>56104937</v>
      </c>
      <c r="B121" t="s">
        <v>469</v>
      </c>
      <c r="C121" t="s">
        <v>470</v>
      </c>
      <c r="D121" t="s">
        <v>37</v>
      </c>
      <c r="E121" t="s">
        <v>3</v>
      </c>
      <c r="F121" t="s">
        <v>471</v>
      </c>
      <c r="G121" s="2">
        <v>1</v>
      </c>
      <c r="H121" t="s">
        <v>32</v>
      </c>
      <c r="I121" t="s">
        <v>117</v>
      </c>
      <c r="J121" s="3">
        <v>22145</v>
      </c>
      <c r="K121" t="s">
        <v>22</v>
      </c>
      <c r="L121" t="s">
        <v>472</v>
      </c>
      <c r="M121" s="4">
        <v>45229</v>
      </c>
    </row>
    <row r="122" spans="1:13" x14ac:dyDescent="0.25">
      <c r="A122">
        <v>56104938</v>
      </c>
      <c r="B122" t="s">
        <v>473</v>
      </c>
      <c r="C122" t="s">
        <v>474</v>
      </c>
      <c r="D122" t="s">
        <v>475</v>
      </c>
      <c r="E122" t="s">
        <v>3</v>
      </c>
      <c r="F122" t="s">
        <v>476</v>
      </c>
      <c r="G122" s="2">
        <v>905532.38</v>
      </c>
      <c r="H122" t="s">
        <v>32</v>
      </c>
      <c r="I122" t="s">
        <v>33</v>
      </c>
      <c r="J122" s="3">
        <v>905532.38</v>
      </c>
      <c r="K122" t="s">
        <v>22</v>
      </c>
      <c r="L122" t="s">
        <v>477</v>
      </c>
      <c r="M122" s="4">
        <v>45226</v>
      </c>
    </row>
    <row r="123" spans="1:13" x14ac:dyDescent="0.25">
      <c r="A123">
        <v>56104941</v>
      </c>
      <c r="B123" t="s">
        <v>478</v>
      </c>
      <c r="C123" t="s">
        <v>322</v>
      </c>
      <c r="D123" t="s">
        <v>51</v>
      </c>
      <c r="E123" t="s">
        <v>3</v>
      </c>
      <c r="F123" t="s">
        <v>479</v>
      </c>
      <c r="G123" s="2">
        <v>80</v>
      </c>
      <c r="H123" t="s">
        <v>32</v>
      </c>
      <c r="I123" t="s">
        <v>6</v>
      </c>
      <c r="J123" s="3">
        <v>18.48</v>
      </c>
      <c r="K123" t="s">
        <v>22</v>
      </c>
      <c r="L123" t="s">
        <v>480</v>
      </c>
      <c r="M123" s="4">
        <v>45231</v>
      </c>
    </row>
    <row r="124" spans="1:13" x14ac:dyDescent="0.25">
      <c r="A124">
        <v>56104952</v>
      </c>
      <c r="B124" t="s">
        <v>481</v>
      </c>
      <c r="C124" t="s">
        <v>482</v>
      </c>
      <c r="D124" t="s">
        <v>51</v>
      </c>
      <c r="E124" t="s">
        <v>3</v>
      </c>
      <c r="F124" t="s">
        <v>483</v>
      </c>
      <c r="G124" s="2">
        <v>2</v>
      </c>
      <c r="H124" t="s">
        <v>5</v>
      </c>
      <c r="I124" t="s">
        <v>6</v>
      </c>
      <c r="J124" s="3">
        <v>2110</v>
      </c>
      <c r="K124" t="s">
        <v>22</v>
      </c>
      <c r="L124" t="s">
        <v>484</v>
      </c>
      <c r="M124" s="4">
        <v>45230</v>
      </c>
    </row>
    <row r="125" spans="1:13" x14ac:dyDescent="0.25">
      <c r="A125">
        <v>56104953</v>
      </c>
      <c r="B125" t="s">
        <v>485</v>
      </c>
      <c r="C125" t="s">
        <v>486</v>
      </c>
      <c r="D125" t="s">
        <v>51</v>
      </c>
      <c r="E125" t="s">
        <v>3</v>
      </c>
      <c r="F125" t="s">
        <v>487</v>
      </c>
      <c r="G125" s="2">
        <v>55</v>
      </c>
      <c r="H125" t="s">
        <v>5</v>
      </c>
      <c r="I125" t="s">
        <v>6</v>
      </c>
      <c r="J125" s="3">
        <v>899.25</v>
      </c>
      <c r="K125" t="s">
        <v>22</v>
      </c>
      <c r="L125" t="s">
        <v>488</v>
      </c>
      <c r="M125" s="4">
        <v>45230</v>
      </c>
    </row>
    <row r="126" spans="1:13" x14ac:dyDescent="0.25">
      <c r="A126">
        <v>56104956</v>
      </c>
      <c r="B126" t="s">
        <v>489</v>
      </c>
      <c r="C126" t="s">
        <v>490</v>
      </c>
      <c r="D126" t="s">
        <v>148</v>
      </c>
      <c r="E126" t="s">
        <v>3</v>
      </c>
      <c r="F126" t="s">
        <v>491</v>
      </c>
      <c r="G126" s="2">
        <v>1</v>
      </c>
      <c r="H126" t="s">
        <v>32</v>
      </c>
      <c r="I126" t="s">
        <v>117</v>
      </c>
      <c r="J126" s="3">
        <v>9693</v>
      </c>
      <c r="K126" t="s">
        <v>22</v>
      </c>
      <c r="L126" t="s">
        <v>492</v>
      </c>
      <c r="M126" s="4">
        <v>45230</v>
      </c>
    </row>
    <row r="127" spans="1:13" x14ac:dyDescent="0.25">
      <c r="A127">
        <v>56104957</v>
      </c>
      <c r="B127" t="s">
        <v>493</v>
      </c>
      <c r="C127" t="s">
        <v>397</v>
      </c>
      <c r="D127" t="s">
        <v>41</v>
      </c>
      <c r="E127" t="s">
        <v>3</v>
      </c>
      <c r="F127" t="s">
        <v>494</v>
      </c>
      <c r="G127" s="2">
        <v>1</v>
      </c>
      <c r="H127" t="s">
        <v>5</v>
      </c>
      <c r="I127" t="s">
        <v>6</v>
      </c>
      <c r="J127" s="3">
        <v>3150</v>
      </c>
      <c r="K127" t="s">
        <v>495</v>
      </c>
      <c r="L127" t="s">
        <v>496</v>
      </c>
      <c r="M127" s="4">
        <v>45230</v>
      </c>
    </row>
    <row r="128" spans="1:13" x14ac:dyDescent="0.25">
      <c r="A128">
        <v>56104958</v>
      </c>
      <c r="B128" t="s">
        <v>497</v>
      </c>
      <c r="C128" t="s">
        <v>498</v>
      </c>
      <c r="D128" t="s">
        <v>41</v>
      </c>
      <c r="E128" t="s">
        <v>3</v>
      </c>
      <c r="F128" t="s">
        <v>499</v>
      </c>
      <c r="G128" s="2">
        <v>25</v>
      </c>
      <c r="H128" t="s">
        <v>5</v>
      </c>
      <c r="I128" t="s">
        <v>6</v>
      </c>
      <c r="J128" s="3">
        <v>1550</v>
      </c>
      <c r="K128" t="s">
        <v>500</v>
      </c>
      <c r="L128" t="s">
        <v>501</v>
      </c>
      <c r="M128" s="4">
        <v>45231</v>
      </c>
    </row>
    <row r="129" spans="1:13" x14ac:dyDescent="0.25">
      <c r="A129">
        <v>56106484</v>
      </c>
      <c r="B129" t="s">
        <v>502</v>
      </c>
      <c r="C129" t="s">
        <v>503</v>
      </c>
      <c r="D129" t="s">
        <v>51</v>
      </c>
      <c r="E129" t="s">
        <v>3</v>
      </c>
      <c r="F129" t="s">
        <v>504</v>
      </c>
      <c r="G129" s="2">
        <v>1570</v>
      </c>
      <c r="H129" t="s">
        <v>32</v>
      </c>
      <c r="I129" t="s">
        <v>6</v>
      </c>
      <c r="J129" s="3">
        <v>775.27</v>
      </c>
      <c r="K129" t="s">
        <v>22</v>
      </c>
      <c r="L129" t="s">
        <v>505</v>
      </c>
      <c r="M129" s="4">
        <v>45230</v>
      </c>
    </row>
    <row r="130" spans="1:13" x14ac:dyDescent="0.25">
      <c r="A130">
        <v>56106546</v>
      </c>
      <c r="B130" t="s">
        <v>506</v>
      </c>
      <c r="C130" t="s">
        <v>507</v>
      </c>
      <c r="D130" t="s">
        <v>96</v>
      </c>
      <c r="E130" t="s">
        <v>3</v>
      </c>
      <c r="F130" t="s">
        <v>508</v>
      </c>
      <c r="G130" s="2">
        <v>900</v>
      </c>
      <c r="H130" t="s">
        <v>32</v>
      </c>
      <c r="I130" t="s">
        <v>6</v>
      </c>
      <c r="J130" s="3">
        <v>3645</v>
      </c>
      <c r="K130" t="s">
        <v>22</v>
      </c>
      <c r="L130" t="s">
        <v>509</v>
      </c>
      <c r="M130" s="4">
        <v>45238</v>
      </c>
    </row>
    <row r="131" spans="1:13" x14ac:dyDescent="0.25">
      <c r="A131">
        <v>56106547</v>
      </c>
      <c r="B131" t="s">
        <v>510</v>
      </c>
      <c r="C131" t="s">
        <v>507</v>
      </c>
      <c r="D131" t="s">
        <v>96</v>
      </c>
      <c r="E131" t="s">
        <v>3</v>
      </c>
      <c r="F131" t="s">
        <v>511</v>
      </c>
      <c r="G131" s="2">
        <v>595</v>
      </c>
      <c r="H131" t="s">
        <v>32</v>
      </c>
      <c r="I131" t="s">
        <v>6</v>
      </c>
      <c r="J131" s="3">
        <v>3183.25</v>
      </c>
      <c r="K131" t="s">
        <v>22</v>
      </c>
      <c r="L131" t="s">
        <v>512</v>
      </c>
      <c r="M131" s="4">
        <v>45231</v>
      </c>
    </row>
    <row r="132" spans="1:13" x14ac:dyDescent="0.25">
      <c r="A132">
        <v>56106548</v>
      </c>
      <c r="B132" t="s">
        <v>513</v>
      </c>
      <c r="C132" t="s">
        <v>514</v>
      </c>
      <c r="D132" t="s">
        <v>51</v>
      </c>
      <c r="E132" t="s">
        <v>3</v>
      </c>
      <c r="F132" t="s">
        <v>515</v>
      </c>
      <c r="G132" s="2">
        <v>1</v>
      </c>
      <c r="H132" t="s">
        <v>32</v>
      </c>
      <c r="I132" t="s">
        <v>6</v>
      </c>
      <c r="J132" s="3">
        <v>7250</v>
      </c>
      <c r="K132" t="s">
        <v>22</v>
      </c>
      <c r="L132" t="s">
        <v>516</v>
      </c>
      <c r="M132" s="4">
        <v>45231</v>
      </c>
    </row>
    <row r="133" spans="1:13" x14ac:dyDescent="0.25">
      <c r="A133">
        <v>56106549</v>
      </c>
      <c r="B133" t="s">
        <v>517</v>
      </c>
      <c r="C133" t="s">
        <v>22</v>
      </c>
      <c r="D133" t="s">
        <v>215</v>
      </c>
      <c r="E133" t="s">
        <v>3</v>
      </c>
      <c r="F133" t="s">
        <v>518</v>
      </c>
      <c r="G133" s="2">
        <v>1</v>
      </c>
      <c r="H133" t="s">
        <v>32</v>
      </c>
      <c r="I133" t="s">
        <v>6</v>
      </c>
      <c r="J133" s="3">
        <v>4400</v>
      </c>
      <c r="K133" t="s">
        <v>22</v>
      </c>
      <c r="L133" t="s">
        <v>519</v>
      </c>
      <c r="M133" s="4">
        <v>45230</v>
      </c>
    </row>
    <row r="134" spans="1:13" x14ac:dyDescent="0.25">
      <c r="A134">
        <v>56106550</v>
      </c>
      <c r="B134" t="s">
        <v>520</v>
      </c>
      <c r="C134" t="s">
        <v>521</v>
      </c>
      <c r="D134" t="s">
        <v>522</v>
      </c>
      <c r="E134" t="s">
        <v>3</v>
      </c>
      <c r="F134" t="s">
        <v>523</v>
      </c>
      <c r="G134" s="2">
        <v>1</v>
      </c>
      <c r="H134" t="s">
        <v>32</v>
      </c>
      <c r="I134" t="s">
        <v>25</v>
      </c>
      <c r="J134" s="3">
        <v>750</v>
      </c>
      <c r="K134" t="s">
        <v>22</v>
      </c>
      <c r="L134" t="s">
        <v>524</v>
      </c>
      <c r="M134" s="4">
        <v>45229</v>
      </c>
    </row>
    <row r="135" spans="1:13" x14ac:dyDescent="0.25">
      <c r="A135">
        <v>56106556</v>
      </c>
      <c r="B135" t="s">
        <v>525</v>
      </c>
      <c r="C135" t="s">
        <v>65</v>
      </c>
      <c r="D135" t="s">
        <v>526</v>
      </c>
      <c r="E135" t="s">
        <v>3</v>
      </c>
      <c r="F135" t="s">
        <v>527</v>
      </c>
      <c r="G135" s="2">
        <v>34000</v>
      </c>
      <c r="H135" t="s">
        <v>32</v>
      </c>
      <c r="I135" t="s">
        <v>6</v>
      </c>
      <c r="J135" s="3">
        <v>1500.08</v>
      </c>
      <c r="K135" t="s">
        <v>22</v>
      </c>
      <c r="L135" t="s">
        <v>528</v>
      </c>
      <c r="M135" s="4">
        <v>45233</v>
      </c>
    </row>
    <row r="136" spans="1:13" x14ac:dyDescent="0.25">
      <c r="A136">
        <v>56187755</v>
      </c>
      <c r="B136" t="s">
        <v>529</v>
      </c>
      <c r="C136" t="s">
        <v>530</v>
      </c>
      <c r="D136" t="s">
        <v>51</v>
      </c>
      <c r="E136" t="s">
        <v>3</v>
      </c>
      <c r="F136" t="s">
        <v>531</v>
      </c>
      <c r="G136" s="2">
        <v>1</v>
      </c>
      <c r="H136" t="s">
        <v>32</v>
      </c>
      <c r="I136" t="s">
        <v>25</v>
      </c>
      <c r="J136" s="3">
        <v>130</v>
      </c>
      <c r="K136" t="s">
        <v>22</v>
      </c>
      <c r="L136" t="s">
        <v>532</v>
      </c>
      <c r="M136" s="4">
        <v>45231</v>
      </c>
    </row>
    <row r="137" spans="1:13" x14ac:dyDescent="0.25">
      <c r="A137">
        <v>56187756</v>
      </c>
      <c r="B137" t="s">
        <v>533</v>
      </c>
      <c r="C137" t="s">
        <v>521</v>
      </c>
      <c r="D137" t="s">
        <v>51</v>
      </c>
      <c r="E137" t="s">
        <v>3</v>
      </c>
      <c r="F137" t="s">
        <v>534</v>
      </c>
      <c r="G137" s="2">
        <v>1000</v>
      </c>
      <c r="H137" t="s">
        <v>535</v>
      </c>
      <c r="I137" t="s">
        <v>25</v>
      </c>
      <c r="J137" s="3">
        <v>250.56</v>
      </c>
      <c r="K137" t="s">
        <v>22</v>
      </c>
      <c r="L137" t="s">
        <v>536</v>
      </c>
      <c r="M137" s="4">
        <v>45230</v>
      </c>
    </row>
    <row r="138" spans="1:13" x14ac:dyDescent="0.25">
      <c r="A138">
        <v>56187757</v>
      </c>
      <c r="B138" t="s">
        <v>537</v>
      </c>
      <c r="C138" t="s">
        <v>151</v>
      </c>
      <c r="D138" t="s">
        <v>51</v>
      </c>
      <c r="E138" t="s">
        <v>3</v>
      </c>
      <c r="F138" t="s">
        <v>538</v>
      </c>
      <c r="G138" s="2">
        <v>1</v>
      </c>
      <c r="H138" t="s">
        <v>32</v>
      </c>
      <c r="I138" t="s">
        <v>25</v>
      </c>
      <c r="J138" s="3">
        <v>69500</v>
      </c>
      <c r="K138" t="s">
        <v>22</v>
      </c>
      <c r="L138" t="s">
        <v>539</v>
      </c>
      <c r="M138" s="4">
        <v>45230</v>
      </c>
    </row>
    <row r="139" spans="1:13" x14ac:dyDescent="0.25">
      <c r="A139">
        <v>56188168</v>
      </c>
      <c r="B139" t="s">
        <v>540</v>
      </c>
      <c r="C139" t="s">
        <v>83</v>
      </c>
      <c r="D139" t="s">
        <v>51</v>
      </c>
      <c r="E139" t="s">
        <v>3</v>
      </c>
      <c r="F139" t="s">
        <v>84</v>
      </c>
      <c r="G139" s="2">
        <v>1500</v>
      </c>
      <c r="H139" t="s">
        <v>32</v>
      </c>
      <c r="I139" t="s">
        <v>25</v>
      </c>
      <c r="J139" s="3">
        <v>2767.86</v>
      </c>
      <c r="K139" t="s">
        <v>22</v>
      </c>
      <c r="L139" t="s">
        <v>541</v>
      </c>
      <c r="M139" s="4">
        <v>45280</v>
      </c>
    </row>
    <row r="140" spans="1:13" x14ac:dyDescent="0.25">
      <c r="A140">
        <v>56188169</v>
      </c>
      <c r="B140" t="s">
        <v>542</v>
      </c>
      <c r="C140" t="s">
        <v>435</v>
      </c>
      <c r="D140" t="s">
        <v>2</v>
      </c>
      <c r="E140" t="s">
        <v>3</v>
      </c>
      <c r="F140" t="s">
        <v>543</v>
      </c>
      <c r="G140" s="2">
        <v>4000</v>
      </c>
      <c r="H140" t="s">
        <v>5</v>
      </c>
      <c r="I140" t="s">
        <v>25</v>
      </c>
      <c r="J140" s="3">
        <v>5600</v>
      </c>
      <c r="K140" t="s">
        <v>22</v>
      </c>
      <c r="L140" t="s">
        <v>544</v>
      </c>
      <c r="M140" s="4">
        <v>45231</v>
      </c>
    </row>
    <row r="141" spans="1:13" x14ac:dyDescent="0.25">
      <c r="A141">
        <v>56188171</v>
      </c>
      <c r="B141" t="s">
        <v>545</v>
      </c>
      <c r="C141" t="s">
        <v>83</v>
      </c>
      <c r="D141" t="s">
        <v>51</v>
      </c>
      <c r="E141" t="s">
        <v>3</v>
      </c>
      <c r="F141" t="s">
        <v>546</v>
      </c>
      <c r="G141" s="2">
        <v>125</v>
      </c>
      <c r="H141" t="s">
        <v>5</v>
      </c>
      <c r="I141" t="s">
        <v>25</v>
      </c>
      <c r="J141" s="3">
        <v>333.75</v>
      </c>
      <c r="K141" t="s">
        <v>22</v>
      </c>
      <c r="L141" t="s">
        <v>547</v>
      </c>
      <c r="M141" s="4">
        <v>45273</v>
      </c>
    </row>
    <row r="142" spans="1:13" x14ac:dyDescent="0.25">
      <c r="A142">
        <v>56188172</v>
      </c>
      <c r="B142" t="s">
        <v>548</v>
      </c>
      <c r="C142" t="s">
        <v>257</v>
      </c>
      <c r="D142" t="s">
        <v>215</v>
      </c>
      <c r="E142" t="s">
        <v>3</v>
      </c>
      <c r="F142" t="s">
        <v>549</v>
      </c>
      <c r="G142" s="2">
        <v>1</v>
      </c>
      <c r="H142" t="s">
        <v>32</v>
      </c>
      <c r="I142" t="s">
        <v>25</v>
      </c>
      <c r="J142" s="3">
        <v>1700</v>
      </c>
      <c r="K142" t="s">
        <v>22</v>
      </c>
      <c r="L142" t="s">
        <v>550</v>
      </c>
      <c r="M142" s="4">
        <v>45230</v>
      </c>
    </row>
    <row r="143" spans="1:13" x14ac:dyDescent="0.25">
      <c r="A143">
        <v>56188176</v>
      </c>
      <c r="B143" t="s">
        <v>551</v>
      </c>
      <c r="C143" t="s">
        <v>22</v>
      </c>
      <c r="D143" t="s">
        <v>263</v>
      </c>
      <c r="E143" t="s">
        <v>3</v>
      </c>
      <c r="F143" t="s">
        <v>552</v>
      </c>
      <c r="G143" s="2">
        <v>1</v>
      </c>
      <c r="H143" t="s">
        <v>5</v>
      </c>
      <c r="I143" t="s">
        <v>25</v>
      </c>
      <c r="J143" s="3">
        <v>3600</v>
      </c>
      <c r="K143" t="s">
        <v>553</v>
      </c>
      <c r="L143" t="s">
        <v>554</v>
      </c>
      <c r="M143" s="4">
        <v>45231</v>
      </c>
    </row>
    <row r="144" spans="1:13" x14ac:dyDescent="0.25">
      <c r="A144">
        <v>56188178</v>
      </c>
      <c r="B144" t="s">
        <v>555</v>
      </c>
      <c r="C144" t="s">
        <v>95</v>
      </c>
      <c r="D144" t="s">
        <v>96</v>
      </c>
      <c r="E144" t="s">
        <v>3</v>
      </c>
      <c r="F144" t="s">
        <v>556</v>
      </c>
      <c r="G144" s="2">
        <v>90</v>
      </c>
      <c r="H144" t="s">
        <v>32</v>
      </c>
      <c r="I144" t="s">
        <v>25</v>
      </c>
      <c r="J144" s="3">
        <v>11334.6</v>
      </c>
      <c r="K144" t="s">
        <v>22</v>
      </c>
      <c r="L144" t="s">
        <v>557</v>
      </c>
      <c r="M144" s="4">
        <v>45231</v>
      </c>
    </row>
    <row r="145" spans="1:13" x14ac:dyDescent="0.25">
      <c r="A145">
        <v>56188181</v>
      </c>
      <c r="B145" t="s">
        <v>558</v>
      </c>
      <c r="C145" t="s">
        <v>95</v>
      </c>
      <c r="D145" t="s">
        <v>96</v>
      </c>
      <c r="E145" t="s">
        <v>3</v>
      </c>
      <c r="F145" t="s">
        <v>559</v>
      </c>
      <c r="G145" s="2">
        <v>2</v>
      </c>
      <c r="H145" t="s">
        <v>32</v>
      </c>
      <c r="I145" t="s">
        <v>25</v>
      </c>
      <c r="J145" s="3">
        <v>619.20000000000005</v>
      </c>
      <c r="K145" t="s">
        <v>22</v>
      </c>
      <c r="L145" t="s">
        <v>560</v>
      </c>
      <c r="M145" s="4">
        <v>45232</v>
      </c>
    </row>
    <row r="146" spans="1:13" x14ac:dyDescent="0.25">
      <c r="A146">
        <v>56188182</v>
      </c>
      <c r="B146" t="s">
        <v>561</v>
      </c>
      <c r="C146" t="s">
        <v>83</v>
      </c>
      <c r="D146" t="s">
        <v>2</v>
      </c>
      <c r="E146" t="s">
        <v>3</v>
      </c>
      <c r="F146" t="s">
        <v>562</v>
      </c>
      <c r="G146" s="2">
        <v>250</v>
      </c>
      <c r="H146" t="s">
        <v>32</v>
      </c>
      <c r="I146" t="s">
        <v>25</v>
      </c>
      <c r="J146" s="3">
        <v>750</v>
      </c>
      <c r="K146" t="s">
        <v>22</v>
      </c>
      <c r="L146" t="s">
        <v>563</v>
      </c>
      <c r="M146" s="4">
        <v>45230</v>
      </c>
    </row>
    <row r="147" spans="1:13" x14ac:dyDescent="0.25">
      <c r="A147">
        <v>56188241</v>
      </c>
      <c r="B147" t="s">
        <v>564</v>
      </c>
      <c r="C147" t="s">
        <v>22</v>
      </c>
      <c r="D147" t="s">
        <v>51</v>
      </c>
      <c r="E147" t="s">
        <v>3</v>
      </c>
      <c r="F147" t="s">
        <v>565</v>
      </c>
      <c r="G147" s="2">
        <v>19151.8</v>
      </c>
      <c r="H147" t="s">
        <v>32</v>
      </c>
      <c r="I147" t="s">
        <v>6</v>
      </c>
      <c r="J147" s="3">
        <v>19151.8</v>
      </c>
      <c r="K147" t="s">
        <v>22</v>
      </c>
      <c r="L147" t="s">
        <v>566</v>
      </c>
      <c r="M147" s="4">
        <v>45239</v>
      </c>
    </row>
    <row r="148" spans="1:13" x14ac:dyDescent="0.25">
      <c r="A148">
        <v>56188242</v>
      </c>
      <c r="B148" t="s">
        <v>567</v>
      </c>
      <c r="C148" t="s">
        <v>568</v>
      </c>
      <c r="D148" t="s">
        <v>51</v>
      </c>
      <c r="E148" t="s">
        <v>3</v>
      </c>
      <c r="F148" t="s">
        <v>569</v>
      </c>
      <c r="G148" s="2">
        <v>20</v>
      </c>
      <c r="H148" t="s">
        <v>5</v>
      </c>
      <c r="I148" t="s">
        <v>6</v>
      </c>
      <c r="J148" s="3">
        <v>900</v>
      </c>
      <c r="K148" t="s">
        <v>22</v>
      </c>
      <c r="L148" t="s">
        <v>570</v>
      </c>
      <c r="M148" s="4">
        <v>45231</v>
      </c>
    </row>
    <row r="149" spans="1:13" x14ac:dyDescent="0.25">
      <c r="A149">
        <v>56188244</v>
      </c>
      <c r="B149" t="s">
        <v>571</v>
      </c>
      <c r="C149" t="s">
        <v>65</v>
      </c>
      <c r="D149" t="s">
        <v>61</v>
      </c>
      <c r="E149" t="s">
        <v>3</v>
      </c>
      <c r="F149" t="s">
        <v>572</v>
      </c>
      <c r="G149" s="2">
        <v>1500</v>
      </c>
      <c r="H149" t="s">
        <v>5</v>
      </c>
      <c r="I149" t="s">
        <v>6</v>
      </c>
      <c r="J149" s="3">
        <v>1500</v>
      </c>
      <c r="K149" t="s">
        <v>22</v>
      </c>
      <c r="L149" t="s">
        <v>573</v>
      </c>
      <c r="M149" s="4">
        <v>45231</v>
      </c>
    </row>
    <row r="150" spans="1:13" x14ac:dyDescent="0.25">
      <c r="A150">
        <v>56188245</v>
      </c>
      <c r="B150" t="s">
        <v>574</v>
      </c>
      <c r="C150" t="s">
        <v>575</v>
      </c>
      <c r="D150" t="s">
        <v>37</v>
      </c>
      <c r="E150" t="s">
        <v>3</v>
      </c>
      <c r="F150" t="s">
        <v>576</v>
      </c>
      <c r="G150" s="2">
        <v>520</v>
      </c>
      <c r="H150" t="s">
        <v>32</v>
      </c>
      <c r="I150" t="s">
        <v>6</v>
      </c>
      <c r="J150" s="3">
        <v>88.02</v>
      </c>
      <c r="K150" t="s">
        <v>22</v>
      </c>
      <c r="L150" t="s">
        <v>577</v>
      </c>
      <c r="M150" s="4">
        <v>45231</v>
      </c>
    </row>
    <row r="151" spans="1:13" x14ac:dyDescent="0.25">
      <c r="A151">
        <v>56188246</v>
      </c>
      <c r="B151" t="s">
        <v>578</v>
      </c>
      <c r="C151" t="s">
        <v>507</v>
      </c>
      <c r="D151" t="s">
        <v>51</v>
      </c>
      <c r="E151" t="s">
        <v>3</v>
      </c>
      <c r="F151" t="s">
        <v>579</v>
      </c>
      <c r="G151" s="2">
        <v>500</v>
      </c>
      <c r="H151" t="s">
        <v>5</v>
      </c>
      <c r="I151" t="s">
        <v>6</v>
      </c>
      <c r="J151" s="3">
        <v>2825</v>
      </c>
      <c r="K151" t="s">
        <v>22</v>
      </c>
      <c r="L151" t="s">
        <v>580</v>
      </c>
      <c r="M151" s="4">
        <v>45233</v>
      </c>
    </row>
    <row r="152" spans="1:13" x14ac:dyDescent="0.25">
      <c r="A152">
        <v>56188247</v>
      </c>
      <c r="B152" t="s">
        <v>581</v>
      </c>
      <c r="C152" t="s">
        <v>582</v>
      </c>
      <c r="D152" t="s">
        <v>51</v>
      </c>
      <c r="E152" t="s">
        <v>3</v>
      </c>
      <c r="F152" t="s">
        <v>583</v>
      </c>
      <c r="G152" s="2">
        <v>150</v>
      </c>
      <c r="H152" t="s">
        <v>5</v>
      </c>
      <c r="I152" t="s">
        <v>6</v>
      </c>
      <c r="J152" s="3">
        <v>900</v>
      </c>
      <c r="K152" t="s">
        <v>22</v>
      </c>
      <c r="L152" t="s">
        <v>584</v>
      </c>
      <c r="M152" s="4">
        <v>45233</v>
      </c>
    </row>
    <row r="153" spans="1:13" x14ac:dyDescent="0.25">
      <c r="A153">
        <v>56188248</v>
      </c>
      <c r="B153" t="s">
        <v>585</v>
      </c>
      <c r="C153" t="s">
        <v>586</v>
      </c>
      <c r="D153" t="s">
        <v>30</v>
      </c>
      <c r="E153" t="s">
        <v>3</v>
      </c>
      <c r="F153" t="s">
        <v>587</v>
      </c>
      <c r="G153" s="2">
        <v>1</v>
      </c>
      <c r="H153" t="s">
        <v>32</v>
      </c>
      <c r="I153" t="s">
        <v>77</v>
      </c>
      <c r="J153" s="3">
        <v>2300</v>
      </c>
      <c r="K153" t="s">
        <v>22</v>
      </c>
      <c r="L153" t="s">
        <v>588</v>
      </c>
      <c r="M153" s="4">
        <v>45296</v>
      </c>
    </row>
    <row r="154" spans="1:13" x14ac:dyDescent="0.25">
      <c r="A154">
        <v>56188279</v>
      </c>
      <c r="B154" t="s">
        <v>589</v>
      </c>
      <c r="C154" t="s">
        <v>590</v>
      </c>
      <c r="D154" t="s">
        <v>75</v>
      </c>
      <c r="E154" t="s">
        <v>3</v>
      </c>
      <c r="F154" t="s">
        <v>591</v>
      </c>
      <c r="G154" s="2">
        <v>1000</v>
      </c>
      <c r="H154" t="s">
        <v>32</v>
      </c>
      <c r="I154" t="s">
        <v>6</v>
      </c>
      <c r="J154" s="3">
        <v>500</v>
      </c>
      <c r="K154" t="s">
        <v>22</v>
      </c>
      <c r="L154" t="s">
        <v>592</v>
      </c>
      <c r="M154" s="4">
        <v>45231</v>
      </c>
    </row>
    <row r="155" spans="1:13" x14ac:dyDescent="0.25">
      <c r="A155">
        <v>56188280</v>
      </c>
      <c r="B155" t="s">
        <v>593</v>
      </c>
      <c r="C155" t="s">
        <v>594</v>
      </c>
      <c r="D155" t="s">
        <v>51</v>
      </c>
      <c r="E155" t="s">
        <v>3</v>
      </c>
      <c r="F155" t="s">
        <v>595</v>
      </c>
      <c r="G155" s="2">
        <v>21</v>
      </c>
      <c r="H155" t="s">
        <v>5</v>
      </c>
      <c r="I155" t="s">
        <v>6</v>
      </c>
      <c r="J155" s="3">
        <v>2730</v>
      </c>
      <c r="K155" t="s">
        <v>22</v>
      </c>
      <c r="L155" t="s">
        <v>596</v>
      </c>
      <c r="M155" s="4">
        <v>45231</v>
      </c>
    </row>
    <row r="156" spans="1:13" x14ac:dyDescent="0.25">
      <c r="A156">
        <v>56190876</v>
      </c>
      <c r="B156" t="s">
        <v>597</v>
      </c>
      <c r="C156" t="s">
        <v>83</v>
      </c>
      <c r="D156" t="s">
        <v>87</v>
      </c>
      <c r="E156" t="s">
        <v>3</v>
      </c>
      <c r="F156" t="s">
        <v>598</v>
      </c>
      <c r="G156" s="2">
        <v>1</v>
      </c>
      <c r="H156" t="s">
        <v>32</v>
      </c>
      <c r="I156" t="s">
        <v>25</v>
      </c>
      <c r="J156" s="3">
        <v>2500</v>
      </c>
      <c r="K156" t="s">
        <v>22</v>
      </c>
      <c r="L156" t="s">
        <v>599</v>
      </c>
      <c r="M156" s="4">
        <v>45238</v>
      </c>
    </row>
    <row r="157" spans="1:13" x14ac:dyDescent="0.25">
      <c r="A157">
        <v>56190877</v>
      </c>
      <c r="B157" t="s">
        <v>600</v>
      </c>
      <c r="C157" t="s">
        <v>83</v>
      </c>
      <c r="D157" t="s">
        <v>2</v>
      </c>
      <c r="E157" t="s">
        <v>3</v>
      </c>
      <c r="F157" t="s">
        <v>601</v>
      </c>
      <c r="G157" s="2">
        <v>1</v>
      </c>
      <c r="H157" t="s">
        <v>32</v>
      </c>
      <c r="I157" t="s">
        <v>25</v>
      </c>
      <c r="J157" s="3">
        <v>12096</v>
      </c>
      <c r="K157" t="s">
        <v>22</v>
      </c>
      <c r="L157" t="s">
        <v>602</v>
      </c>
      <c r="M157" s="4">
        <v>45231</v>
      </c>
    </row>
    <row r="158" spans="1:13" x14ac:dyDescent="0.25">
      <c r="A158">
        <v>56190878</v>
      </c>
      <c r="B158" t="s">
        <v>603</v>
      </c>
      <c r="C158" t="s">
        <v>604</v>
      </c>
      <c r="D158" t="s">
        <v>51</v>
      </c>
      <c r="E158" t="s">
        <v>3</v>
      </c>
      <c r="F158" t="s">
        <v>605</v>
      </c>
      <c r="G158" s="2">
        <v>1000</v>
      </c>
      <c r="H158" t="s">
        <v>5</v>
      </c>
      <c r="I158" t="s">
        <v>25</v>
      </c>
      <c r="J158" s="3">
        <v>1270</v>
      </c>
      <c r="K158" t="s">
        <v>22</v>
      </c>
      <c r="L158" t="s">
        <v>606</v>
      </c>
      <c r="M158" s="4">
        <v>45231</v>
      </c>
    </row>
    <row r="159" spans="1:13" x14ac:dyDescent="0.25">
      <c r="A159">
        <v>56190879</v>
      </c>
      <c r="B159" t="s">
        <v>607</v>
      </c>
      <c r="C159" t="s">
        <v>83</v>
      </c>
      <c r="D159" t="s">
        <v>51</v>
      </c>
      <c r="E159" t="s">
        <v>3</v>
      </c>
      <c r="F159" t="s">
        <v>608</v>
      </c>
      <c r="G159" s="2">
        <v>200</v>
      </c>
      <c r="H159" t="s">
        <v>32</v>
      </c>
      <c r="I159" t="s">
        <v>25</v>
      </c>
      <c r="J159" s="3">
        <v>848</v>
      </c>
      <c r="K159" t="s">
        <v>22</v>
      </c>
      <c r="L159" t="s">
        <v>609</v>
      </c>
      <c r="M159" s="4">
        <v>45232</v>
      </c>
    </row>
    <row r="160" spans="1:13" x14ac:dyDescent="0.25">
      <c r="A160">
        <v>56190897</v>
      </c>
      <c r="B160" t="s">
        <v>610</v>
      </c>
      <c r="C160" t="s">
        <v>611</v>
      </c>
      <c r="D160" t="s">
        <v>210</v>
      </c>
      <c r="E160" t="s">
        <v>3</v>
      </c>
      <c r="F160" t="s">
        <v>612</v>
      </c>
      <c r="G160" s="2">
        <v>4</v>
      </c>
      <c r="H160" t="s">
        <v>32</v>
      </c>
      <c r="I160" t="s">
        <v>117</v>
      </c>
      <c r="J160" s="3">
        <v>19227.919999999998</v>
      </c>
      <c r="K160" t="s">
        <v>22</v>
      </c>
      <c r="L160" t="s">
        <v>613</v>
      </c>
      <c r="M160" s="4">
        <v>45230</v>
      </c>
    </row>
    <row r="161" spans="1:13" x14ac:dyDescent="0.25">
      <c r="A161">
        <v>56190927</v>
      </c>
      <c r="B161" t="s">
        <v>614</v>
      </c>
      <c r="C161" t="s">
        <v>615</v>
      </c>
      <c r="D161" t="s">
        <v>210</v>
      </c>
      <c r="E161" t="s">
        <v>3</v>
      </c>
      <c r="F161" t="s">
        <v>616</v>
      </c>
      <c r="G161" s="2">
        <v>1</v>
      </c>
      <c r="H161" t="s">
        <v>32</v>
      </c>
      <c r="I161" t="s">
        <v>117</v>
      </c>
      <c r="J161" s="3">
        <v>5250</v>
      </c>
      <c r="K161" t="s">
        <v>22</v>
      </c>
      <c r="L161" t="s">
        <v>617</v>
      </c>
      <c r="M161" s="4">
        <v>45230</v>
      </c>
    </row>
    <row r="162" spans="1:13" x14ac:dyDescent="0.25">
      <c r="A162">
        <v>56190928</v>
      </c>
      <c r="B162" t="s">
        <v>618</v>
      </c>
      <c r="C162" t="s">
        <v>619</v>
      </c>
      <c r="D162" t="s">
        <v>148</v>
      </c>
      <c r="E162" t="s">
        <v>3</v>
      </c>
      <c r="F162" t="s">
        <v>620</v>
      </c>
      <c r="G162" s="2">
        <v>1</v>
      </c>
      <c r="H162" t="s">
        <v>32</v>
      </c>
      <c r="I162" t="s">
        <v>117</v>
      </c>
      <c r="J162" s="3">
        <v>726</v>
      </c>
      <c r="K162" t="s">
        <v>22</v>
      </c>
      <c r="L162" t="s">
        <v>621</v>
      </c>
      <c r="M162" s="4">
        <v>45230</v>
      </c>
    </row>
    <row r="163" spans="1:13" x14ac:dyDescent="0.25">
      <c r="A163">
        <v>56190930</v>
      </c>
      <c r="B163" t="s">
        <v>622</v>
      </c>
      <c r="C163" t="s">
        <v>623</v>
      </c>
      <c r="D163" t="s">
        <v>30</v>
      </c>
      <c r="E163" t="s">
        <v>3</v>
      </c>
      <c r="F163" t="s">
        <v>624</v>
      </c>
      <c r="G163" s="2">
        <v>1</v>
      </c>
      <c r="H163" t="s">
        <v>32</v>
      </c>
      <c r="I163" t="s">
        <v>117</v>
      </c>
      <c r="J163" s="3">
        <v>57.1</v>
      </c>
      <c r="K163" t="s">
        <v>22</v>
      </c>
      <c r="L163" t="s">
        <v>625</v>
      </c>
      <c r="M163" s="4">
        <v>45230</v>
      </c>
    </row>
    <row r="164" spans="1:13" x14ac:dyDescent="0.25">
      <c r="A164">
        <v>56190931</v>
      </c>
      <c r="B164" t="s">
        <v>626</v>
      </c>
      <c r="C164" t="s">
        <v>627</v>
      </c>
      <c r="D164" t="s">
        <v>30</v>
      </c>
      <c r="E164" t="s">
        <v>3</v>
      </c>
      <c r="F164" t="s">
        <v>628</v>
      </c>
      <c r="G164" s="2">
        <v>1</v>
      </c>
      <c r="H164" t="s">
        <v>32</v>
      </c>
      <c r="I164" t="s">
        <v>117</v>
      </c>
      <c r="J164" s="3">
        <v>1101.17</v>
      </c>
      <c r="K164" t="s">
        <v>22</v>
      </c>
      <c r="L164" t="s">
        <v>629</v>
      </c>
      <c r="M164" s="4">
        <v>45230</v>
      </c>
    </row>
    <row r="165" spans="1:13" x14ac:dyDescent="0.25">
      <c r="A165">
        <v>56192196</v>
      </c>
      <c r="B165" t="s">
        <v>630</v>
      </c>
      <c r="C165" t="s">
        <v>631</v>
      </c>
      <c r="D165" t="s">
        <v>2</v>
      </c>
      <c r="E165" t="s">
        <v>3</v>
      </c>
      <c r="F165" t="s">
        <v>632</v>
      </c>
      <c r="G165" s="2">
        <v>1</v>
      </c>
      <c r="H165" t="s">
        <v>5</v>
      </c>
      <c r="I165" t="s">
        <v>6</v>
      </c>
      <c r="J165" s="3">
        <v>42348.6</v>
      </c>
      <c r="K165" t="s">
        <v>22</v>
      </c>
      <c r="L165" t="s">
        <v>633</v>
      </c>
      <c r="M165" s="4">
        <v>45232</v>
      </c>
    </row>
    <row r="166" spans="1:13" x14ac:dyDescent="0.25">
      <c r="A166">
        <v>56192197</v>
      </c>
      <c r="B166" t="s">
        <v>634</v>
      </c>
      <c r="C166" t="s">
        <v>635</v>
      </c>
      <c r="D166" t="s">
        <v>96</v>
      </c>
      <c r="E166" t="s">
        <v>3</v>
      </c>
      <c r="F166" t="s">
        <v>636</v>
      </c>
      <c r="G166" s="2">
        <v>100</v>
      </c>
      <c r="H166" t="s">
        <v>32</v>
      </c>
      <c r="I166" t="s">
        <v>6</v>
      </c>
      <c r="J166" s="3">
        <v>80</v>
      </c>
      <c r="K166" t="s">
        <v>22</v>
      </c>
      <c r="L166" t="s">
        <v>637</v>
      </c>
      <c r="M166" s="4">
        <v>45232</v>
      </c>
    </row>
    <row r="167" spans="1:13" x14ac:dyDescent="0.25">
      <c r="A167">
        <v>56192198</v>
      </c>
      <c r="B167" t="s">
        <v>638</v>
      </c>
      <c r="C167" t="s">
        <v>639</v>
      </c>
      <c r="D167" t="s">
        <v>2</v>
      </c>
      <c r="E167" t="s">
        <v>3</v>
      </c>
      <c r="F167" t="s">
        <v>640</v>
      </c>
      <c r="G167" s="2">
        <v>1</v>
      </c>
      <c r="H167" t="s">
        <v>5</v>
      </c>
      <c r="I167" t="s">
        <v>6</v>
      </c>
      <c r="J167" s="3">
        <v>42851.29</v>
      </c>
      <c r="K167" t="s">
        <v>22</v>
      </c>
      <c r="L167" t="s">
        <v>641</v>
      </c>
      <c r="M167" s="4">
        <v>45245</v>
      </c>
    </row>
    <row r="168" spans="1:13" x14ac:dyDescent="0.25">
      <c r="A168">
        <v>56192199</v>
      </c>
      <c r="B168" t="s">
        <v>642</v>
      </c>
      <c r="C168" t="s">
        <v>65</v>
      </c>
      <c r="D168" t="s">
        <v>51</v>
      </c>
      <c r="E168" t="s">
        <v>3</v>
      </c>
      <c r="F168" t="s">
        <v>643</v>
      </c>
      <c r="G168" s="2">
        <v>190</v>
      </c>
      <c r="H168" t="s">
        <v>5</v>
      </c>
      <c r="I168" t="s">
        <v>6</v>
      </c>
      <c r="J168" s="3">
        <v>410.4</v>
      </c>
      <c r="K168" t="s">
        <v>22</v>
      </c>
      <c r="L168" t="s">
        <v>644</v>
      </c>
      <c r="M168" s="4">
        <v>45232</v>
      </c>
    </row>
    <row r="169" spans="1:13" x14ac:dyDescent="0.25">
      <c r="A169">
        <v>56192200</v>
      </c>
      <c r="B169" t="s">
        <v>645</v>
      </c>
      <c r="C169" t="s">
        <v>486</v>
      </c>
      <c r="D169" t="s">
        <v>51</v>
      </c>
      <c r="E169" t="s">
        <v>3</v>
      </c>
      <c r="F169" t="s">
        <v>646</v>
      </c>
      <c r="G169" s="2">
        <v>30</v>
      </c>
      <c r="H169" t="s">
        <v>5</v>
      </c>
      <c r="I169" t="s">
        <v>6</v>
      </c>
      <c r="J169" s="3">
        <v>490.5</v>
      </c>
      <c r="K169" t="s">
        <v>22</v>
      </c>
      <c r="L169" t="s">
        <v>647</v>
      </c>
      <c r="M169" s="4">
        <v>45232</v>
      </c>
    </row>
    <row r="170" spans="1:13" x14ac:dyDescent="0.25">
      <c r="A170">
        <v>56192201</v>
      </c>
      <c r="B170" t="s">
        <v>648</v>
      </c>
      <c r="C170" t="s">
        <v>22</v>
      </c>
      <c r="D170" t="s">
        <v>46</v>
      </c>
      <c r="E170" t="s">
        <v>3</v>
      </c>
      <c r="F170" t="s">
        <v>649</v>
      </c>
      <c r="G170" s="2">
        <v>1</v>
      </c>
      <c r="H170" t="s">
        <v>5</v>
      </c>
      <c r="I170" t="s">
        <v>25</v>
      </c>
      <c r="J170" s="3">
        <v>500</v>
      </c>
      <c r="K170" t="s">
        <v>650</v>
      </c>
      <c r="L170" t="s">
        <v>651</v>
      </c>
      <c r="M170" s="4">
        <v>45244</v>
      </c>
    </row>
    <row r="171" spans="1:13" x14ac:dyDescent="0.25">
      <c r="A171">
        <v>56193761</v>
      </c>
      <c r="B171" t="s">
        <v>652</v>
      </c>
      <c r="C171" t="s">
        <v>653</v>
      </c>
      <c r="D171" t="s">
        <v>75</v>
      </c>
      <c r="E171" t="s">
        <v>3</v>
      </c>
      <c r="F171" t="s">
        <v>654</v>
      </c>
      <c r="G171" s="2">
        <v>55</v>
      </c>
      <c r="H171" t="s">
        <v>5</v>
      </c>
      <c r="I171" t="s">
        <v>25</v>
      </c>
      <c r="J171" s="3">
        <v>412.5</v>
      </c>
      <c r="K171" t="s">
        <v>22</v>
      </c>
      <c r="L171" t="s">
        <v>655</v>
      </c>
      <c r="M171" s="4">
        <v>45231</v>
      </c>
    </row>
    <row r="172" spans="1:13" x14ac:dyDescent="0.25">
      <c r="A172">
        <v>56193763</v>
      </c>
      <c r="B172" t="s">
        <v>656</v>
      </c>
      <c r="C172" t="s">
        <v>22</v>
      </c>
      <c r="D172" t="s">
        <v>75</v>
      </c>
      <c r="E172" t="s">
        <v>3</v>
      </c>
      <c r="F172" t="s">
        <v>657</v>
      </c>
      <c r="G172" s="2">
        <v>1</v>
      </c>
      <c r="H172" t="s">
        <v>5</v>
      </c>
      <c r="I172" t="s">
        <v>25</v>
      </c>
      <c r="J172" s="3">
        <v>20000</v>
      </c>
      <c r="K172" t="s">
        <v>22</v>
      </c>
      <c r="L172" t="s">
        <v>658</v>
      </c>
      <c r="M172" s="4">
        <v>45231</v>
      </c>
    </row>
    <row r="173" spans="1:13" x14ac:dyDescent="0.25">
      <c r="A173">
        <v>56193764</v>
      </c>
      <c r="B173" t="s">
        <v>659</v>
      </c>
      <c r="C173" t="s">
        <v>660</v>
      </c>
      <c r="D173" t="s">
        <v>96</v>
      </c>
      <c r="E173" t="s">
        <v>3</v>
      </c>
      <c r="F173" t="s">
        <v>661</v>
      </c>
      <c r="G173" s="2">
        <v>100</v>
      </c>
      <c r="H173" t="s">
        <v>32</v>
      </c>
      <c r="I173" t="s">
        <v>25</v>
      </c>
      <c r="J173" s="3">
        <v>6200</v>
      </c>
      <c r="K173" t="s">
        <v>22</v>
      </c>
      <c r="L173" t="s">
        <v>662</v>
      </c>
      <c r="M173" s="4">
        <v>45233</v>
      </c>
    </row>
    <row r="174" spans="1:13" x14ac:dyDescent="0.25">
      <c r="A174">
        <v>56193765</v>
      </c>
      <c r="B174" t="s">
        <v>663</v>
      </c>
      <c r="C174" t="s">
        <v>664</v>
      </c>
      <c r="D174" t="s">
        <v>96</v>
      </c>
      <c r="E174" t="s">
        <v>3</v>
      </c>
      <c r="F174" t="s">
        <v>665</v>
      </c>
      <c r="G174" s="2">
        <v>1</v>
      </c>
      <c r="H174" t="s">
        <v>32</v>
      </c>
      <c r="I174" t="s">
        <v>25</v>
      </c>
      <c r="J174" s="3">
        <v>3100</v>
      </c>
      <c r="K174" t="s">
        <v>22</v>
      </c>
      <c r="L174" t="s">
        <v>666</v>
      </c>
      <c r="M174" s="4">
        <v>45239</v>
      </c>
    </row>
    <row r="175" spans="1:13" x14ac:dyDescent="0.25">
      <c r="A175">
        <v>56193766</v>
      </c>
      <c r="B175" t="s">
        <v>667</v>
      </c>
      <c r="C175" t="s">
        <v>139</v>
      </c>
      <c r="D175" t="s">
        <v>2</v>
      </c>
      <c r="E175" t="s">
        <v>3</v>
      </c>
      <c r="F175" t="s">
        <v>668</v>
      </c>
      <c r="G175" s="2">
        <v>411</v>
      </c>
      <c r="H175" t="s">
        <v>669</v>
      </c>
      <c r="I175" t="s">
        <v>25</v>
      </c>
      <c r="J175" s="3">
        <v>2270.36</v>
      </c>
      <c r="K175" t="s">
        <v>22</v>
      </c>
      <c r="L175" t="s">
        <v>670</v>
      </c>
      <c r="M175" s="4">
        <v>45240</v>
      </c>
    </row>
    <row r="176" spans="1:13" x14ac:dyDescent="0.25">
      <c r="A176">
        <v>56193767</v>
      </c>
      <c r="B176" t="s">
        <v>671</v>
      </c>
      <c r="C176" t="s">
        <v>664</v>
      </c>
      <c r="D176" t="s">
        <v>96</v>
      </c>
      <c r="E176" t="s">
        <v>3</v>
      </c>
      <c r="F176" t="s">
        <v>672</v>
      </c>
      <c r="G176" s="2">
        <v>1</v>
      </c>
      <c r="H176" t="s">
        <v>32</v>
      </c>
      <c r="I176" t="s">
        <v>25</v>
      </c>
      <c r="J176" s="3">
        <v>3100</v>
      </c>
      <c r="K176" t="s">
        <v>22</v>
      </c>
      <c r="L176" t="s">
        <v>673</v>
      </c>
      <c r="M176" s="4">
        <v>45237</v>
      </c>
    </row>
    <row r="177" spans="1:13" x14ac:dyDescent="0.25">
      <c r="A177">
        <v>56193768</v>
      </c>
      <c r="B177" t="s">
        <v>674</v>
      </c>
      <c r="C177" t="s">
        <v>675</v>
      </c>
      <c r="D177" t="s">
        <v>51</v>
      </c>
      <c r="E177" t="s">
        <v>3</v>
      </c>
      <c r="F177" t="s">
        <v>676</v>
      </c>
      <c r="G177" s="2">
        <v>400</v>
      </c>
      <c r="H177" t="s">
        <v>5</v>
      </c>
      <c r="I177" t="s">
        <v>25</v>
      </c>
      <c r="J177" s="3">
        <v>5740</v>
      </c>
      <c r="K177" t="s">
        <v>22</v>
      </c>
      <c r="L177" t="s">
        <v>677</v>
      </c>
      <c r="M177" s="4">
        <v>45240</v>
      </c>
    </row>
    <row r="178" spans="1:13" x14ac:dyDescent="0.25">
      <c r="A178">
        <v>56193769</v>
      </c>
      <c r="B178" t="s">
        <v>678</v>
      </c>
      <c r="C178" t="s">
        <v>390</v>
      </c>
      <c r="D178" t="s">
        <v>51</v>
      </c>
      <c r="E178" t="s">
        <v>3</v>
      </c>
      <c r="F178" t="s">
        <v>679</v>
      </c>
      <c r="G178" s="2">
        <v>1</v>
      </c>
      <c r="H178" t="s">
        <v>32</v>
      </c>
      <c r="I178" t="s">
        <v>25</v>
      </c>
      <c r="J178" s="3">
        <v>8240</v>
      </c>
      <c r="K178" t="s">
        <v>22</v>
      </c>
      <c r="L178" t="s">
        <v>680</v>
      </c>
      <c r="M178" s="4">
        <v>45238</v>
      </c>
    </row>
    <row r="179" spans="1:13" x14ac:dyDescent="0.25">
      <c r="A179">
        <v>56193890</v>
      </c>
      <c r="B179" t="s">
        <v>681</v>
      </c>
      <c r="C179" t="s">
        <v>682</v>
      </c>
      <c r="D179" t="s">
        <v>96</v>
      </c>
      <c r="E179" t="s">
        <v>3</v>
      </c>
      <c r="F179" t="s">
        <v>683</v>
      </c>
      <c r="G179" s="2">
        <v>150</v>
      </c>
      <c r="H179" t="s">
        <v>32</v>
      </c>
      <c r="I179" t="s">
        <v>25</v>
      </c>
      <c r="J179" s="3">
        <v>568.35</v>
      </c>
      <c r="K179" t="s">
        <v>22</v>
      </c>
      <c r="L179" t="s">
        <v>684</v>
      </c>
      <c r="M179" s="4">
        <v>45232</v>
      </c>
    </row>
    <row r="180" spans="1:13" x14ac:dyDescent="0.25">
      <c r="A180">
        <v>56193891</v>
      </c>
      <c r="B180" t="s">
        <v>686</v>
      </c>
      <c r="C180" t="s">
        <v>682</v>
      </c>
      <c r="D180" t="s">
        <v>96</v>
      </c>
      <c r="E180" t="s">
        <v>3</v>
      </c>
      <c r="F180" t="s">
        <v>683</v>
      </c>
      <c r="G180" s="2">
        <v>1</v>
      </c>
      <c r="H180" t="s">
        <v>32</v>
      </c>
      <c r="I180" t="s">
        <v>25</v>
      </c>
      <c r="J180" s="3">
        <v>400</v>
      </c>
      <c r="K180" t="s">
        <v>22</v>
      </c>
      <c r="L180" t="s">
        <v>687</v>
      </c>
      <c r="M180" s="4">
        <v>45239</v>
      </c>
    </row>
    <row r="181" spans="1:13" x14ac:dyDescent="0.25">
      <c r="A181">
        <v>56193892</v>
      </c>
      <c r="B181" t="s">
        <v>688</v>
      </c>
      <c r="C181" t="s">
        <v>689</v>
      </c>
      <c r="D181" t="s">
        <v>215</v>
      </c>
      <c r="E181" t="s">
        <v>3</v>
      </c>
      <c r="F181" t="s">
        <v>690</v>
      </c>
      <c r="G181" s="2">
        <v>1</v>
      </c>
      <c r="H181" t="s">
        <v>32</v>
      </c>
      <c r="I181" t="s">
        <v>25</v>
      </c>
      <c r="J181" s="3">
        <v>4500</v>
      </c>
      <c r="K181" t="s">
        <v>22</v>
      </c>
      <c r="L181" t="s">
        <v>691</v>
      </c>
      <c r="M181" s="4">
        <v>45243</v>
      </c>
    </row>
    <row r="182" spans="1:13" x14ac:dyDescent="0.25">
      <c r="A182">
        <v>56194900</v>
      </c>
      <c r="B182" t="s">
        <v>692</v>
      </c>
      <c r="C182" t="s">
        <v>693</v>
      </c>
      <c r="D182" t="s">
        <v>30</v>
      </c>
      <c r="E182" t="s">
        <v>3</v>
      </c>
      <c r="F182" t="s">
        <v>694</v>
      </c>
      <c r="G182" s="2">
        <v>1</v>
      </c>
      <c r="H182" t="s">
        <v>32</v>
      </c>
      <c r="I182" t="s">
        <v>33</v>
      </c>
      <c r="J182" s="3">
        <v>10718</v>
      </c>
      <c r="K182" t="s">
        <v>22</v>
      </c>
      <c r="L182" t="s">
        <v>695</v>
      </c>
      <c r="M182" s="4">
        <v>45232</v>
      </c>
    </row>
    <row r="183" spans="1:13" x14ac:dyDescent="0.25">
      <c r="A183">
        <v>56194903</v>
      </c>
      <c r="B183" t="s">
        <v>696</v>
      </c>
      <c r="C183" t="s">
        <v>424</v>
      </c>
      <c r="D183" t="s">
        <v>41</v>
      </c>
      <c r="E183" t="s">
        <v>3</v>
      </c>
      <c r="F183" t="s">
        <v>697</v>
      </c>
      <c r="G183" s="2">
        <v>1</v>
      </c>
      <c r="H183" t="s">
        <v>5</v>
      </c>
      <c r="I183" t="s">
        <v>6</v>
      </c>
      <c r="J183" s="3">
        <v>2642.25</v>
      </c>
      <c r="K183" t="s">
        <v>22</v>
      </c>
      <c r="L183" t="s">
        <v>698</v>
      </c>
      <c r="M183" s="4">
        <v>45233</v>
      </c>
    </row>
    <row r="184" spans="1:13" x14ac:dyDescent="0.25">
      <c r="A184">
        <v>56194904</v>
      </c>
      <c r="B184" t="s">
        <v>699</v>
      </c>
      <c r="C184" t="s">
        <v>700</v>
      </c>
      <c r="D184" t="s">
        <v>51</v>
      </c>
      <c r="E184" t="s">
        <v>3</v>
      </c>
      <c r="F184" t="s">
        <v>701</v>
      </c>
      <c r="G184" s="2">
        <v>1</v>
      </c>
      <c r="H184" t="s">
        <v>5</v>
      </c>
      <c r="I184" t="s">
        <v>6</v>
      </c>
      <c r="J184" s="3">
        <v>1500</v>
      </c>
      <c r="K184" t="s">
        <v>22</v>
      </c>
      <c r="L184" t="s">
        <v>702</v>
      </c>
      <c r="M184" s="4">
        <v>45233</v>
      </c>
    </row>
    <row r="185" spans="1:13" x14ac:dyDescent="0.25">
      <c r="A185">
        <v>56194931</v>
      </c>
      <c r="B185" t="s">
        <v>703</v>
      </c>
      <c r="C185" t="s">
        <v>704</v>
      </c>
      <c r="D185" t="s">
        <v>96</v>
      </c>
      <c r="E185" t="s">
        <v>3</v>
      </c>
      <c r="F185" t="s">
        <v>705</v>
      </c>
      <c r="G185" s="2">
        <v>1</v>
      </c>
      <c r="H185" t="s">
        <v>32</v>
      </c>
      <c r="I185" t="s">
        <v>33</v>
      </c>
      <c r="J185" s="3">
        <v>1000</v>
      </c>
      <c r="K185" t="s">
        <v>22</v>
      </c>
      <c r="L185" t="s">
        <v>706</v>
      </c>
      <c r="M185" s="4">
        <v>45232</v>
      </c>
    </row>
    <row r="186" spans="1:13" x14ac:dyDescent="0.25">
      <c r="A186">
        <v>56196397</v>
      </c>
      <c r="B186" t="s">
        <v>707</v>
      </c>
      <c r="C186" t="s">
        <v>424</v>
      </c>
      <c r="D186" t="s">
        <v>41</v>
      </c>
      <c r="E186" t="s">
        <v>3</v>
      </c>
      <c r="F186" t="s">
        <v>708</v>
      </c>
      <c r="G186" s="2">
        <v>1</v>
      </c>
      <c r="H186" t="s">
        <v>5</v>
      </c>
      <c r="I186" t="s">
        <v>6</v>
      </c>
      <c r="J186" s="3">
        <v>2642.25</v>
      </c>
      <c r="K186" t="s">
        <v>22</v>
      </c>
      <c r="L186" t="s">
        <v>709</v>
      </c>
      <c r="M186" s="4">
        <v>45238</v>
      </c>
    </row>
    <row r="187" spans="1:13" x14ac:dyDescent="0.25">
      <c r="A187">
        <v>56196466</v>
      </c>
      <c r="B187" t="s">
        <v>710</v>
      </c>
      <c r="C187" t="s">
        <v>163</v>
      </c>
      <c r="D187" t="s">
        <v>148</v>
      </c>
      <c r="E187" t="s">
        <v>3</v>
      </c>
      <c r="F187" t="s">
        <v>711</v>
      </c>
      <c r="G187" s="2">
        <v>1</v>
      </c>
      <c r="H187" t="s">
        <v>32</v>
      </c>
      <c r="I187" t="s">
        <v>117</v>
      </c>
      <c r="J187" s="3">
        <v>5780</v>
      </c>
      <c r="K187" t="s">
        <v>22</v>
      </c>
      <c r="L187" t="s">
        <v>712</v>
      </c>
      <c r="M187" s="4">
        <v>45233</v>
      </c>
    </row>
    <row r="188" spans="1:13" x14ac:dyDescent="0.25">
      <c r="A188">
        <v>56196543</v>
      </c>
      <c r="B188" t="s">
        <v>713</v>
      </c>
      <c r="C188" t="s">
        <v>147</v>
      </c>
      <c r="D188" t="s">
        <v>148</v>
      </c>
      <c r="E188" t="s">
        <v>3</v>
      </c>
      <c r="F188" t="s">
        <v>714</v>
      </c>
      <c r="G188" s="2">
        <v>4</v>
      </c>
      <c r="H188" t="s">
        <v>32</v>
      </c>
      <c r="I188" t="s">
        <v>117</v>
      </c>
      <c r="J188" s="3">
        <v>15165.4</v>
      </c>
      <c r="K188" t="s">
        <v>22</v>
      </c>
      <c r="L188" t="s">
        <v>715</v>
      </c>
      <c r="M188" s="4">
        <v>45237</v>
      </c>
    </row>
    <row r="189" spans="1:13" x14ac:dyDescent="0.25">
      <c r="A189">
        <v>56196544</v>
      </c>
      <c r="B189" t="s">
        <v>716</v>
      </c>
      <c r="C189" t="s">
        <v>322</v>
      </c>
      <c r="D189" t="s">
        <v>51</v>
      </c>
      <c r="E189" t="s">
        <v>3</v>
      </c>
      <c r="F189" t="s">
        <v>717</v>
      </c>
      <c r="G189" s="2">
        <v>3000</v>
      </c>
      <c r="H189" t="s">
        <v>5</v>
      </c>
      <c r="I189" t="s">
        <v>6</v>
      </c>
      <c r="J189" s="3">
        <v>183</v>
      </c>
      <c r="K189" t="s">
        <v>22</v>
      </c>
      <c r="L189" t="s">
        <v>718</v>
      </c>
      <c r="M189" s="4">
        <v>45239</v>
      </c>
    </row>
    <row r="190" spans="1:13" x14ac:dyDescent="0.25">
      <c r="A190">
        <v>56196546</v>
      </c>
      <c r="B190" t="s">
        <v>719</v>
      </c>
      <c r="C190" t="s">
        <v>720</v>
      </c>
      <c r="D190" t="s">
        <v>37</v>
      </c>
      <c r="E190" t="s">
        <v>3</v>
      </c>
      <c r="F190" t="s">
        <v>721</v>
      </c>
      <c r="G190" s="2">
        <v>1000</v>
      </c>
      <c r="H190" t="s">
        <v>32</v>
      </c>
      <c r="I190" t="s">
        <v>6</v>
      </c>
      <c r="J190" s="3">
        <v>446</v>
      </c>
      <c r="K190" t="s">
        <v>22</v>
      </c>
      <c r="L190" t="s">
        <v>722</v>
      </c>
      <c r="M190" s="4">
        <v>45238</v>
      </c>
    </row>
    <row r="191" spans="1:13" x14ac:dyDescent="0.25">
      <c r="A191">
        <v>56196649</v>
      </c>
      <c r="B191" t="s">
        <v>723</v>
      </c>
      <c r="C191" t="s">
        <v>724</v>
      </c>
      <c r="D191" t="s">
        <v>96</v>
      </c>
      <c r="E191" t="s">
        <v>3</v>
      </c>
      <c r="F191" t="s">
        <v>725</v>
      </c>
      <c r="G191" s="2">
        <v>50</v>
      </c>
      <c r="H191" t="s">
        <v>32</v>
      </c>
      <c r="I191" t="s">
        <v>6</v>
      </c>
      <c r="J191" s="3">
        <v>1000</v>
      </c>
      <c r="K191" t="s">
        <v>22</v>
      </c>
      <c r="L191" t="s">
        <v>726</v>
      </c>
      <c r="M191" s="4">
        <v>45239</v>
      </c>
    </row>
    <row r="192" spans="1:13" x14ac:dyDescent="0.25">
      <c r="A192">
        <v>56196651</v>
      </c>
      <c r="B192" t="s">
        <v>727</v>
      </c>
      <c r="C192" t="s">
        <v>700</v>
      </c>
      <c r="D192" t="s">
        <v>51</v>
      </c>
      <c r="E192" t="s">
        <v>3</v>
      </c>
      <c r="F192" t="s">
        <v>728</v>
      </c>
      <c r="G192" s="2">
        <v>1</v>
      </c>
      <c r="H192" t="s">
        <v>32</v>
      </c>
      <c r="I192" t="s">
        <v>25</v>
      </c>
      <c r="J192" s="3">
        <v>200</v>
      </c>
      <c r="K192" t="s">
        <v>22</v>
      </c>
      <c r="L192" t="s">
        <v>729</v>
      </c>
      <c r="M192" s="4">
        <v>45239</v>
      </c>
    </row>
    <row r="193" spans="1:13" x14ac:dyDescent="0.25">
      <c r="A193">
        <v>56196653</v>
      </c>
      <c r="B193" t="s">
        <v>730</v>
      </c>
      <c r="C193" t="s">
        <v>704</v>
      </c>
      <c r="D193" t="s">
        <v>96</v>
      </c>
      <c r="E193" t="s">
        <v>3</v>
      </c>
      <c r="F193" t="s">
        <v>731</v>
      </c>
      <c r="G193" s="2">
        <v>1</v>
      </c>
      <c r="H193" t="s">
        <v>32</v>
      </c>
      <c r="I193" t="s">
        <v>33</v>
      </c>
      <c r="J193" s="3">
        <v>2600</v>
      </c>
      <c r="K193" t="s">
        <v>22</v>
      </c>
      <c r="L193" t="s">
        <v>732</v>
      </c>
      <c r="M193" s="4">
        <v>45233</v>
      </c>
    </row>
    <row r="194" spans="1:13" x14ac:dyDescent="0.25">
      <c r="A194">
        <v>56196656</v>
      </c>
      <c r="B194" t="s">
        <v>733</v>
      </c>
      <c r="C194" t="s">
        <v>734</v>
      </c>
      <c r="D194" t="s">
        <v>210</v>
      </c>
      <c r="E194" t="s">
        <v>3</v>
      </c>
      <c r="F194" t="s">
        <v>735</v>
      </c>
      <c r="G194" s="2">
        <v>11500</v>
      </c>
      <c r="H194" t="s">
        <v>13</v>
      </c>
      <c r="I194" t="s">
        <v>6</v>
      </c>
      <c r="J194" s="3">
        <v>574.54</v>
      </c>
      <c r="K194" t="s">
        <v>736</v>
      </c>
      <c r="L194" t="s">
        <v>737</v>
      </c>
      <c r="M194" s="4">
        <v>45238</v>
      </c>
    </row>
    <row r="195" spans="1:13" x14ac:dyDescent="0.25">
      <c r="A195">
        <v>56196657</v>
      </c>
      <c r="B195" t="s">
        <v>738</v>
      </c>
      <c r="C195" t="s">
        <v>22</v>
      </c>
      <c r="D195" t="s">
        <v>41</v>
      </c>
      <c r="E195" t="s">
        <v>3</v>
      </c>
      <c r="F195" t="s">
        <v>739</v>
      </c>
      <c r="G195" s="2">
        <v>1</v>
      </c>
      <c r="H195" t="s">
        <v>5</v>
      </c>
      <c r="I195" t="s">
        <v>25</v>
      </c>
      <c r="J195" s="3">
        <v>450</v>
      </c>
      <c r="K195" t="s">
        <v>22</v>
      </c>
      <c r="L195" t="s">
        <v>740</v>
      </c>
      <c r="M195" s="4">
        <v>45239</v>
      </c>
    </row>
    <row r="196" spans="1:13" x14ac:dyDescent="0.25">
      <c r="A196">
        <v>56196660</v>
      </c>
      <c r="B196" t="s">
        <v>741</v>
      </c>
      <c r="C196" t="s">
        <v>397</v>
      </c>
      <c r="D196" t="s">
        <v>41</v>
      </c>
      <c r="E196" t="s">
        <v>3</v>
      </c>
      <c r="F196" t="s">
        <v>742</v>
      </c>
      <c r="G196" s="2">
        <v>1</v>
      </c>
      <c r="H196" t="s">
        <v>32</v>
      </c>
      <c r="I196" t="s">
        <v>6</v>
      </c>
      <c r="J196" s="3">
        <v>2650</v>
      </c>
      <c r="K196" t="s">
        <v>22</v>
      </c>
      <c r="L196" t="s">
        <v>743</v>
      </c>
      <c r="M196" s="4">
        <v>45243</v>
      </c>
    </row>
    <row r="197" spans="1:13" x14ac:dyDescent="0.25">
      <c r="A197">
        <v>56197149</v>
      </c>
      <c r="B197" t="s">
        <v>744</v>
      </c>
      <c r="C197" t="s">
        <v>22</v>
      </c>
      <c r="D197" t="s">
        <v>237</v>
      </c>
      <c r="E197" t="s">
        <v>3</v>
      </c>
      <c r="F197" t="s">
        <v>745</v>
      </c>
      <c r="G197" s="2">
        <v>4</v>
      </c>
      <c r="H197" t="s">
        <v>5</v>
      </c>
      <c r="I197" t="s">
        <v>33</v>
      </c>
      <c r="J197" s="3">
        <v>0</v>
      </c>
      <c r="K197" t="s">
        <v>746</v>
      </c>
      <c r="L197" t="s">
        <v>747</v>
      </c>
      <c r="M197" s="4">
        <v>45252</v>
      </c>
    </row>
    <row r="198" spans="1:13" x14ac:dyDescent="0.25">
      <c r="A198">
        <v>56230846</v>
      </c>
      <c r="B198" t="s">
        <v>748</v>
      </c>
      <c r="C198" t="s">
        <v>749</v>
      </c>
      <c r="D198" t="s">
        <v>253</v>
      </c>
      <c r="E198" t="s">
        <v>3</v>
      </c>
      <c r="F198" t="s">
        <v>750</v>
      </c>
      <c r="G198" s="2">
        <v>5</v>
      </c>
      <c r="H198" t="s">
        <v>32</v>
      </c>
      <c r="I198" t="s">
        <v>6</v>
      </c>
      <c r="J198" s="3">
        <v>0</v>
      </c>
      <c r="K198" t="s">
        <v>22</v>
      </c>
      <c r="L198" t="s">
        <v>751</v>
      </c>
      <c r="M198" s="4">
        <v>45238</v>
      </c>
    </row>
    <row r="199" spans="1:13" x14ac:dyDescent="0.25">
      <c r="A199">
        <v>56230847</v>
      </c>
      <c r="B199" t="s">
        <v>754</v>
      </c>
      <c r="C199" t="s">
        <v>755</v>
      </c>
      <c r="D199" t="s">
        <v>756</v>
      </c>
      <c r="E199" t="s">
        <v>3</v>
      </c>
      <c r="F199" t="s">
        <v>757</v>
      </c>
      <c r="G199" s="2">
        <v>1</v>
      </c>
      <c r="H199" t="s">
        <v>32</v>
      </c>
      <c r="I199" t="s">
        <v>6</v>
      </c>
      <c r="J199" s="3">
        <v>500</v>
      </c>
      <c r="K199" t="s">
        <v>22</v>
      </c>
      <c r="L199" t="s">
        <v>758</v>
      </c>
      <c r="M199" s="4">
        <v>45239</v>
      </c>
    </row>
    <row r="200" spans="1:13" x14ac:dyDescent="0.25">
      <c r="A200">
        <v>56230849</v>
      </c>
      <c r="B200" t="s">
        <v>759</v>
      </c>
      <c r="C200" t="s">
        <v>582</v>
      </c>
      <c r="D200" t="s">
        <v>756</v>
      </c>
      <c r="E200" t="s">
        <v>3</v>
      </c>
      <c r="F200" t="s">
        <v>760</v>
      </c>
      <c r="G200" s="2">
        <v>1</v>
      </c>
      <c r="H200" t="s">
        <v>32</v>
      </c>
      <c r="I200" t="s">
        <v>6</v>
      </c>
      <c r="J200" s="3">
        <v>3091.63</v>
      </c>
      <c r="K200" t="s">
        <v>22</v>
      </c>
      <c r="L200" t="s">
        <v>761</v>
      </c>
      <c r="M200" s="4">
        <v>45243</v>
      </c>
    </row>
    <row r="201" spans="1:13" x14ac:dyDescent="0.25">
      <c r="A201">
        <v>56230850</v>
      </c>
      <c r="B201" t="s">
        <v>762</v>
      </c>
      <c r="C201" t="s">
        <v>582</v>
      </c>
      <c r="D201" t="s">
        <v>756</v>
      </c>
      <c r="E201" t="s">
        <v>3</v>
      </c>
      <c r="F201" t="s">
        <v>760</v>
      </c>
      <c r="G201" s="2">
        <v>1</v>
      </c>
      <c r="H201" t="s">
        <v>32</v>
      </c>
      <c r="I201" t="s">
        <v>6</v>
      </c>
      <c r="J201" s="3">
        <v>3091.63</v>
      </c>
      <c r="K201" t="s">
        <v>22</v>
      </c>
      <c r="L201" t="s">
        <v>763</v>
      </c>
      <c r="M201" s="4">
        <v>45239</v>
      </c>
    </row>
    <row r="202" spans="1:13" x14ac:dyDescent="0.25">
      <c r="A202">
        <v>56231222</v>
      </c>
      <c r="B202" t="s">
        <v>764</v>
      </c>
      <c r="C202" t="s">
        <v>765</v>
      </c>
      <c r="D202" t="s">
        <v>96</v>
      </c>
      <c r="E202" t="s">
        <v>3</v>
      </c>
      <c r="F202" t="s">
        <v>766</v>
      </c>
      <c r="G202" s="2">
        <v>1</v>
      </c>
      <c r="H202" t="s">
        <v>32</v>
      </c>
      <c r="I202" t="s">
        <v>25</v>
      </c>
      <c r="J202" s="3">
        <v>13450</v>
      </c>
      <c r="K202" t="s">
        <v>22</v>
      </c>
      <c r="L202" t="s">
        <v>767</v>
      </c>
      <c r="M202" s="4">
        <v>45239</v>
      </c>
    </row>
    <row r="203" spans="1:13" x14ac:dyDescent="0.25">
      <c r="A203">
        <v>56231322</v>
      </c>
      <c r="B203" t="s">
        <v>768</v>
      </c>
      <c r="C203" t="s">
        <v>769</v>
      </c>
      <c r="D203" t="s">
        <v>61</v>
      </c>
      <c r="E203" t="s">
        <v>3</v>
      </c>
      <c r="F203" t="s">
        <v>770</v>
      </c>
      <c r="G203" s="2">
        <v>1</v>
      </c>
      <c r="H203" t="s">
        <v>32</v>
      </c>
      <c r="I203" t="s">
        <v>6</v>
      </c>
      <c r="J203" s="3">
        <v>350</v>
      </c>
      <c r="K203" t="s">
        <v>22</v>
      </c>
      <c r="L203" t="s">
        <v>771</v>
      </c>
      <c r="M203" s="4">
        <v>45239</v>
      </c>
    </row>
    <row r="204" spans="1:13" x14ac:dyDescent="0.25">
      <c r="A204">
        <v>56231323</v>
      </c>
      <c r="B204" t="s">
        <v>772</v>
      </c>
      <c r="C204" t="s">
        <v>65</v>
      </c>
      <c r="D204" t="s">
        <v>61</v>
      </c>
      <c r="E204" t="s">
        <v>3</v>
      </c>
      <c r="F204" t="s">
        <v>773</v>
      </c>
      <c r="G204" s="2">
        <v>1</v>
      </c>
      <c r="H204" t="s">
        <v>32</v>
      </c>
      <c r="I204" t="s">
        <v>6</v>
      </c>
      <c r="J204" s="3">
        <v>1500</v>
      </c>
      <c r="K204" t="s">
        <v>22</v>
      </c>
      <c r="L204" t="s">
        <v>774</v>
      </c>
      <c r="M204" s="4">
        <v>45239</v>
      </c>
    </row>
    <row r="205" spans="1:13" x14ac:dyDescent="0.25">
      <c r="A205">
        <v>56231334</v>
      </c>
      <c r="B205" t="s">
        <v>775</v>
      </c>
      <c r="C205" t="s">
        <v>769</v>
      </c>
      <c r="D205" t="s">
        <v>61</v>
      </c>
      <c r="E205" t="s">
        <v>3</v>
      </c>
      <c r="F205" t="s">
        <v>776</v>
      </c>
      <c r="G205" s="2">
        <v>1</v>
      </c>
      <c r="H205" t="s">
        <v>32</v>
      </c>
      <c r="I205" t="s">
        <v>6</v>
      </c>
      <c r="J205" s="3">
        <v>350</v>
      </c>
      <c r="K205" t="s">
        <v>22</v>
      </c>
      <c r="L205" t="s">
        <v>777</v>
      </c>
      <c r="M205" s="4">
        <v>45239</v>
      </c>
    </row>
    <row r="206" spans="1:13" x14ac:dyDescent="0.25">
      <c r="A206">
        <v>56231335</v>
      </c>
      <c r="B206" t="s">
        <v>778</v>
      </c>
      <c r="C206" t="s">
        <v>779</v>
      </c>
      <c r="D206" t="s">
        <v>253</v>
      </c>
      <c r="E206" t="s">
        <v>3</v>
      </c>
      <c r="F206" t="s">
        <v>780</v>
      </c>
      <c r="G206" s="2">
        <v>1</v>
      </c>
      <c r="H206" t="s">
        <v>32</v>
      </c>
      <c r="I206" t="s">
        <v>25</v>
      </c>
      <c r="J206" s="3">
        <v>2500</v>
      </c>
      <c r="K206" t="s">
        <v>22</v>
      </c>
      <c r="L206" t="s">
        <v>781</v>
      </c>
      <c r="M206" s="4">
        <v>45240</v>
      </c>
    </row>
    <row r="207" spans="1:13" x14ac:dyDescent="0.25">
      <c r="A207">
        <v>56231336</v>
      </c>
      <c r="B207" t="s">
        <v>782</v>
      </c>
      <c r="C207" t="s">
        <v>779</v>
      </c>
      <c r="D207" t="s">
        <v>253</v>
      </c>
      <c r="E207" t="s">
        <v>3</v>
      </c>
      <c r="F207" t="s">
        <v>783</v>
      </c>
      <c r="G207" s="2">
        <v>1</v>
      </c>
      <c r="H207" t="s">
        <v>32</v>
      </c>
      <c r="I207" t="s">
        <v>25</v>
      </c>
      <c r="J207" s="3">
        <v>2500</v>
      </c>
      <c r="K207" t="s">
        <v>22</v>
      </c>
      <c r="L207" t="s">
        <v>784</v>
      </c>
      <c r="M207" s="4">
        <v>45240</v>
      </c>
    </row>
    <row r="208" spans="1:13" x14ac:dyDescent="0.25">
      <c r="A208">
        <v>56231691</v>
      </c>
      <c r="B208" t="s">
        <v>785</v>
      </c>
      <c r="C208" t="s">
        <v>786</v>
      </c>
      <c r="D208" t="s">
        <v>210</v>
      </c>
      <c r="E208" t="s">
        <v>3</v>
      </c>
      <c r="F208" t="s">
        <v>787</v>
      </c>
      <c r="G208" s="2">
        <v>1</v>
      </c>
      <c r="H208" t="s">
        <v>32</v>
      </c>
      <c r="I208" t="s">
        <v>6</v>
      </c>
      <c r="J208" s="3">
        <v>237.12</v>
      </c>
      <c r="K208" t="s">
        <v>22</v>
      </c>
      <c r="L208" t="s">
        <v>788</v>
      </c>
      <c r="M208" s="4">
        <v>45240</v>
      </c>
    </row>
    <row r="209" spans="1:13" x14ac:dyDescent="0.25">
      <c r="A209">
        <v>56231692</v>
      </c>
      <c r="B209" t="s">
        <v>789</v>
      </c>
      <c r="C209" t="s">
        <v>486</v>
      </c>
      <c r="D209" t="s">
        <v>210</v>
      </c>
      <c r="E209" t="s">
        <v>3</v>
      </c>
      <c r="F209" t="s">
        <v>790</v>
      </c>
      <c r="G209" s="2">
        <v>150</v>
      </c>
      <c r="H209" t="s">
        <v>5</v>
      </c>
      <c r="I209" t="s">
        <v>6</v>
      </c>
      <c r="J209" s="3">
        <v>2932.5</v>
      </c>
      <c r="K209" t="s">
        <v>22</v>
      </c>
      <c r="L209" t="s">
        <v>791</v>
      </c>
      <c r="M209" s="4">
        <v>45243</v>
      </c>
    </row>
    <row r="210" spans="1:13" x14ac:dyDescent="0.25">
      <c r="A210">
        <v>56231961</v>
      </c>
      <c r="B210" t="s">
        <v>792</v>
      </c>
      <c r="C210" t="s">
        <v>793</v>
      </c>
      <c r="D210" t="s">
        <v>2</v>
      </c>
      <c r="E210" t="s">
        <v>3</v>
      </c>
      <c r="F210" t="s">
        <v>794</v>
      </c>
      <c r="G210" s="2">
        <v>8500</v>
      </c>
      <c r="H210" t="s">
        <v>32</v>
      </c>
      <c r="I210" t="s">
        <v>6</v>
      </c>
      <c r="J210" s="3">
        <v>255</v>
      </c>
      <c r="K210" t="s">
        <v>22</v>
      </c>
      <c r="L210" t="s">
        <v>795</v>
      </c>
      <c r="M210" s="4">
        <v>45240</v>
      </c>
    </row>
    <row r="211" spans="1:13" x14ac:dyDescent="0.25">
      <c r="A211">
        <v>56231962</v>
      </c>
      <c r="B211" t="s">
        <v>796</v>
      </c>
      <c r="C211" t="s">
        <v>724</v>
      </c>
      <c r="D211" t="s">
        <v>96</v>
      </c>
      <c r="E211" t="s">
        <v>3</v>
      </c>
      <c r="F211" t="s">
        <v>725</v>
      </c>
      <c r="G211" s="2">
        <v>150</v>
      </c>
      <c r="H211" t="s">
        <v>32</v>
      </c>
      <c r="I211" t="s">
        <v>6</v>
      </c>
      <c r="J211" s="3">
        <v>3000</v>
      </c>
      <c r="K211" t="s">
        <v>22</v>
      </c>
      <c r="L211" t="s">
        <v>797</v>
      </c>
      <c r="M211" s="4">
        <v>45243</v>
      </c>
    </row>
    <row r="212" spans="1:13" x14ac:dyDescent="0.25">
      <c r="A212">
        <v>56231963</v>
      </c>
      <c r="B212" t="s">
        <v>798</v>
      </c>
      <c r="C212" t="s">
        <v>799</v>
      </c>
      <c r="D212" t="s">
        <v>96</v>
      </c>
      <c r="E212" t="s">
        <v>3</v>
      </c>
      <c r="F212" t="s">
        <v>800</v>
      </c>
      <c r="G212" s="2">
        <v>1</v>
      </c>
      <c r="H212" t="s">
        <v>32</v>
      </c>
      <c r="I212" t="s">
        <v>6</v>
      </c>
      <c r="J212" s="3">
        <v>9960</v>
      </c>
      <c r="K212" t="s">
        <v>22</v>
      </c>
      <c r="L212" t="s">
        <v>801</v>
      </c>
      <c r="M212" s="4">
        <v>45245</v>
      </c>
    </row>
    <row r="213" spans="1:13" x14ac:dyDescent="0.25">
      <c r="A213">
        <v>56231966</v>
      </c>
      <c r="B213" t="s">
        <v>802</v>
      </c>
      <c r="C213" t="s">
        <v>65</v>
      </c>
      <c r="D213" t="s">
        <v>51</v>
      </c>
      <c r="E213" t="s">
        <v>3</v>
      </c>
      <c r="F213" t="s">
        <v>803</v>
      </c>
      <c r="G213" s="2">
        <v>190</v>
      </c>
      <c r="H213" t="s">
        <v>5</v>
      </c>
      <c r="I213" t="s">
        <v>6</v>
      </c>
      <c r="J213" s="3">
        <v>410.8</v>
      </c>
      <c r="K213" t="s">
        <v>22</v>
      </c>
      <c r="L213" t="s">
        <v>804</v>
      </c>
      <c r="M213" s="4">
        <v>45240</v>
      </c>
    </row>
    <row r="214" spans="1:13" x14ac:dyDescent="0.25">
      <c r="A214">
        <v>56232022</v>
      </c>
      <c r="B214" t="s">
        <v>805</v>
      </c>
      <c r="C214" t="s">
        <v>503</v>
      </c>
      <c r="D214" t="s">
        <v>51</v>
      </c>
      <c r="E214" t="s">
        <v>3</v>
      </c>
      <c r="F214" t="s">
        <v>806</v>
      </c>
      <c r="G214" s="2">
        <v>1</v>
      </c>
      <c r="H214" t="s">
        <v>32</v>
      </c>
      <c r="I214" t="s">
        <v>25</v>
      </c>
      <c r="J214" s="3">
        <v>3950</v>
      </c>
      <c r="K214" t="s">
        <v>22</v>
      </c>
      <c r="L214" t="s">
        <v>807</v>
      </c>
      <c r="M214" s="4">
        <v>45246</v>
      </c>
    </row>
    <row r="215" spans="1:13" x14ac:dyDescent="0.25">
      <c r="A215">
        <v>56232023</v>
      </c>
      <c r="B215" t="s">
        <v>808</v>
      </c>
      <c r="C215" t="s">
        <v>151</v>
      </c>
      <c r="D215" t="s">
        <v>51</v>
      </c>
      <c r="E215" t="s">
        <v>3</v>
      </c>
      <c r="F215" t="s">
        <v>809</v>
      </c>
      <c r="G215" s="2">
        <v>445</v>
      </c>
      <c r="H215" t="s">
        <v>5</v>
      </c>
      <c r="I215" t="s">
        <v>25</v>
      </c>
      <c r="J215" s="3">
        <v>4837.1499999999996</v>
      </c>
      <c r="K215" t="s">
        <v>22</v>
      </c>
      <c r="L215" t="s">
        <v>810</v>
      </c>
      <c r="M215" s="4">
        <v>45246</v>
      </c>
    </row>
    <row r="216" spans="1:13" x14ac:dyDescent="0.25">
      <c r="A216">
        <v>56232024</v>
      </c>
      <c r="B216" t="s">
        <v>811</v>
      </c>
      <c r="C216" t="s">
        <v>197</v>
      </c>
      <c r="D216" t="s">
        <v>96</v>
      </c>
      <c r="E216" t="s">
        <v>3</v>
      </c>
      <c r="F216" t="s">
        <v>812</v>
      </c>
      <c r="G216" s="2">
        <v>100</v>
      </c>
      <c r="H216" t="s">
        <v>32</v>
      </c>
      <c r="I216" t="s">
        <v>25</v>
      </c>
      <c r="J216" s="3">
        <v>1065.0999999999999</v>
      </c>
      <c r="K216" t="s">
        <v>22</v>
      </c>
      <c r="L216" t="s">
        <v>813</v>
      </c>
      <c r="M216" s="4">
        <v>45243</v>
      </c>
    </row>
    <row r="217" spans="1:13" x14ac:dyDescent="0.25">
      <c r="A217">
        <v>56232025</v>
      </c>
      <c r="B217" t="s">
        <v>814</v>
      </c>
      <c r="C217" t="s">
        <v>197</v>
      </c>
      <c r="D217" t="s">
        <v>96</v>
      </c>
      <c r="E217" t="s">
        <v>3</v>
      </c>
      <c r="F217" t="s">
        <v>815</v>
      </c>
      <c r="G217" s="2">
        <v>250</v>
      </c>
      <c r="H217" t="s">
        <v>32</v>
      </c>
      <c r="I217" t="s">
        <v>25</v>
      </c>
      <c r="J217" s="3">
        <v>2080.5</v>
      </c>
      <c r="K217" t="s">
        <v>22</v>
      </c>
      <c r="L217" t="s">
        <v>816</v>
      </c>
      <c r="M217" s="4">
        <v>45243</v>
      </c>
    </row>
    <row r="218" spans="1:13" x14ac:dyDescent="0.25">
      <c r="A218">
        <v>56232027</v>
      </c>
      <c r="B218" t="s">
        <v>817</v>
      </c>
      <c r="C218" t="s">
        <v>322</v>
      </c>
      <c r="D218" t="s">
        <v>2</v>
      </c>
      <c r="E218" t="s">
        <v>3</v>
      </c>
      <c r="F218" t="s">
        <v>818</v>
      </c>
      <c r="G218" s="2">
        <v>9200</v>
      </c>
      <c r="H218" t="s">
        <v>5</v>
      </c>
      <c r="I218" t="s">
        <v>25</v>
      </c>
      <c r="J218" s="3">
        <v>460</v>
      </c>
      <c r="K218" t="s">
        <v>22</v>
      </c>
      <c r="L218" t="s">
        <v>819</v>
      </c>
      <c r="M218" s="4">
        <v>45243</v>
      </c>
    </row>
    <row r="219" spans="1:13" x14ac:dyDescent="0.25">
      <c r="A219">
        <v>56232114</v>
      </c>
      <c r="B219" t="s">
        <v>820</v>
      </c>
      <c r="C219" t="s">
        <v>693</v>
      </c>
      <c r="D219" t="s">
        <v>30</v>
      </c>
      <c r="E219" t="s">
        <v>3</v>
      </c>
      <c r="F219" t="s">
        <v>821</v>
      </c>
      <c r="G219" s="2">
        <v>2</v>
      </c>
      <c r="H219" t="s">
        <v>32</v>
      </c>
      <c r="I219" t="s">
        <v>33</v>
      </c>
      <c r="J219" s="3">
        <v>268128</v>
      </c>
      <c r="K219" t="s">
        <v>22</v>
      </c>
      <c r="L219" t="s">
        <v>822</v>
      </c>
      <c r="M219" s="4">
        <v>45245</v>
      </c>
    </row>
    <row r="220" spans="1:13" x14ac:dyDescent="0.25">
      <c r="A220">
        <v>56232115</v>
      </c>
      <c r="B220" t="s">
        <v>823</v>
      </c>
      <c r="C220" t="s">
        <v>824</v>
      </c>
      <c r="D220" t="s">
        <v>41</v>
      </c>
      <c r="E220" t="s">
        <v>3</v>
      </c>
      <c r="F220" t="s">
        <v>825</v>
      </c>
      <c r="G220" s="2">
        <v>1</v>
      </c>
      <c r="H220" t="s">
        <v>106</v>
      </c>
      <c r="I220" t="s">
        <v>25</v>
      </c>
      <c r="J220" s="3">
        <v>778.03</v>
      </c>
      <c r="K220" t="s">
        <v>22</v>
      </c>
      <c r="L220" t="s">
        <v>826</v>
      </c>
      <c r="M220" s="4">
        <v>45240</v>
      </c>
    </row>
    <row r="221" spans="1:13" x14ac:dyDescent="0.25">
      <c r="A221">
        <v>56232122</v>
      </c>
      <c r="B221" t="s">
        <v>827</v>
      </c>
      <c r="C221" t="s">
        <v>226</v>
      </c>
      <c r="D221" t="s">
        <v>30</v>
      </c>
      <c r="E221" t="s">
        <v>3</v>
      </c>
      <c r="F221" t="s">
        <v>828</v>
      </c>
      <c r="G221" s="2">
        <v>1</v>
      </c>
      <c r="H221" t="s">
        <v>32</v>
      </c>
      <c r="I221" t="s">
        <v>77</v>
      </c>
      <c r="J221" s="3">
        <v>82573.53</v>
      </c>
      <c r="K221" t="s">
        <v>22</v>
      </c>
      <c r="L221" t="s">
        <v>829</v>
      </c>
      <c r="M221" s="4">
        <v>45246</v>
      </c>
    </row>
    <row r="222" spans="1:13" x14ac:dyDescent="0.25">
      <c r="A222">
        <v>56232123</v>
      </c>
      <c r="B222" t="s">
        <v>830</v>
      </c>
      <c r="C222" t="s">
        <v>226</v>
      </c>
      <c r="D222" t="s">
        <v>30</v>
      </c>
      <c r="E222" t="s">
        <v>3</v>
      </c>
      <c r="F222" t="s">
        <v>831</v>
      </c>
      <c r="G222" s="2">
        <v>2</v>
      </c>
      <c r="H222" t="s">
        <v>32</v>
      </c>
      <c r="I222" t="s">
        <v>77</v>
      </c>
      <c r="J222" s="3">
        <v>105048.8</v>
      </c>
      <c r="K222" t="s">
        <v>22</v>
      </c>
      <c r="L222" t="s">
        <v>829</v>
      </c>
      <c r="M222" s="4">
        <v>45246</v>
      </c>
    </row>
    <row r="223" spans="1:13" x14ac:dyDescent="0.25">
      <c r="A223">
        <v>56232142</v>
      </c>
      <c r="B223" t="s">
        <v>832</v>
      </c>
      <c r="C223" t="s">
        <v>693</v>
      </c>
      <c r="D223" t="s">
        <v>30</v>
      </c>
      <c r="E223" t="s">
        <v>3</v>
      </c>
      <c r="F223" t="s">
        <v>694</v>
      </c>
      <c r="G223" s="2">
        <v>1</v>
      </c>
      <c r="H223" t="s">
        <v>32</v>
      </c>
      <c r="I223" t="s">
        <v>33</v>
      </c>
      <c r="J223" s="3">
        <v>434</v>
      </c>
      <c r="K223" t="s">
        <v>22</v>
      </c>
      <c r="L223" t="s">
        <v>833</v>
      </c>
      <c r="M223" s="4">
        <v>45240</v>
      </c>
    </row>
    <row r="224" spans="1:13" x14ac:dyDescent="0.25">
      <c r="A224">
        <v>56232149</v>
      </c>
      <c r="B224" t="s">
        <v>834</v>
      </c>
      <c r="C224" t="s">
        <v>693</v>
      </c>
      <c r="D224" t="s">
        <v>30</v>
      </c>
      <c r="E224" t="s">
        <v>3</v>
      </c>
      <c r="F224" t="s">
        <v>835</v>
      </c>
      <c r="G224" s="2">
        <v>1</v>
      </c>
      <c r="H224" t="s">
        <v>32</v>
      </c>
      <c r="I224" t="s">
        <v>33</v>
      </c>
      <c r="J224" s="3">
        <v>48251</v>
      </c>
      <c r="K224" t="s">
        <v>22</v>
      </c>
      <c r="L224" t="s">
        <v>836</v>
      </c>
      <c r="M224" s="4">
        <v>45244</v>
      </c>
    </row>
    <row r="225" spans="1:13" x14ac:dyDescent="0.25">
      <c r="A225">
        <v>56232157</v>
      </c>
      <c r="B225" t="s">
        <v>837</v>
      </c>
      <c r="C225" t="s">
        <v>838</v>
      </c>
      <c r="D225" t="s">
        <v>51</v>
      </c>
      <c r="E225" t="s">
        <v>3</v>
      </c>
      <c r="F225" t="s">
        <v>839</v>
      </c>
      <c r="G225" s="2">
        <v>1000</v>
      </c>
      <c r="H225" t="s">
        <v>32</v>
      </c>
      <c r="I225" t="s">
        <v>6</v>
      </c>
      <c r="J225" s="3">
        <v>8000</v>
      </c>
      <c r="K225" t="s">
        <v>22</v>
      </c>
      <c r="L225" t="s">
        <v>840</v>
      </c>
      <c r="M225" s="4">
        <v>45246</v>
      </c>
    </row>
    <row r="226" spans="1:13" x14ac:dyDescent="0.25">
      <c r="A226">
        <v>56232159</v>
      </c>
      <c r="B226" t="s">
        <v>841</v>
      </c>
      <c r="C226" t="s">
        <v>276</v>
      </c>
      <c r="D226" t="s">
        <v>215</v>
      </c>
      <c r="E226" t="s">
        <v>3</v>
      </c>
      <c r="F226" t="s">
        <v>842</v>
      </c>
      <c r="G226" s="2">
        <v>1</v>
      </c>
      <c r="H226" t="s">
        <v>32</v>
      </c>
      <c r="I226" t="s">
        <v>6</v>
      </c>
      <c r="J226" s="3">
        <v>1562.48</v>
      </c>
      <c r="K226" t="s">
        <v>22</v>
      </c>
      <c r="L226" t="s">
        <v>843</v>
      </c>
      <c r="M226" s="4">
        <v>45243</v>
      </c>
    </row>
    <row r="227" spans="1:13" x14ac:dyDescent="0.25">
      <c r="A227">
        <v>56232162</v>
      </c>
      <c r="B227" t="s">
        <v>844</v>
      </c>
      <c r="C227" t="s">
        <v>22</v>
      </c>
      <c r="D227" t="s">
        <v>2</v>
      </c>
      <c r="E227" t="s">
        <v>3</v>
      </c>
      <c r="F227" t="s">
        <v>261</v>
      </c>
      <c r="G227" s="2">
        <v>130</v>
      </c>
      <c r="H227" t="s">
        <v>32</v>
      </c>
      <c r="I227" t="s">
        <v>25</v>
      </c>
      <c r="J227" s="3">
        <v>5720</v>
      </c>
      <c r="K227" t="s">
        <v>22</v>
      </c>
      <c r="L227" t="s">
        <v>845</v>
      </c>
      <c r="M227" s="4">
        <v>45243</v>
      </c>
    </row>
    <row r="228" spans="1:13" x14ac:dyDescent="0.25">
      <c r="A228">
        <v>56232165</v>
      </c>
      <c r="B228" t="s">
        <v>846</v>
      </c>
      <c r="C228" t="s">
        <v>847</v>
      </c>
      <c r="D228" t="s">
        <v>30</v>
      </c>
      <c r="E228" t="s">
        <v>3</v>
      </c>
      <c r="F228" t="s">
        <v>848</v>
      </c>
      <c r="G228" s="2">
        <v>1</v>
      </c>
      <c r="H228" t="s">
        <v>32</v>
      </c>
      <c r="I228" t="s">
        <v>77</v>
      </c>
      <c r="J228" s="3">
        <v>325905</v>
      </c>
      <c r="K228" t="s">
        <v>22</v>
      </c>
      <c r="L228" t="s">
        <v>849</v>
      </c>
      <c r="M228" s="4">
        <v>45243</v>
      </c>
    </row>
    <row r="229" spans="1:13" x14ac:dyDescent="0.25">
      <c r="A229">
        <v>56232167</v>
      </c>
      <c r="B229" t="s">
        <v>850</v>
      </c>
      <c r="C229" t="s">
        <v>11</v>
      </c>
      <c r="D229" t="s">
        <v>51</v>
      </c>
      <c r="E229" t="s">
        <v>3</v>
      </c>
      <c r="F229" t="s">
        <v>851</v>
      </c>
      <c r="G229" s="2">
        <v>800</v>
      </c>
      <c r="H229" t="s">
        <v>13</v>
      </c>
      <c r="I229" t="s">
        <v>6</v>
      </c>
      <c r="J229" s="3">
        <v>5718.81</v>
      </c>
      <c r="K229" t="s">
        <v>22</v>
      </c>
      <c r="L229" t="s">
        <v>852</v>
      </c>
      <c r="M229" s="4">
        <v>45244</v>
      </c>
    </row>
    <row r="230" spans="1:13" x14ac:dyDescent="0.25">
      <c r="A230">
        <v>56232168</v>
      </c>
      <c r="B230" t="s">
        <v>853</v>
      </c>
      <c r="C230" t="s">
        <v>507</v>
      </c>
      <c r="D230" t="s">
        <v>51</v>
      </c>
      <c r="E230" t="s">
        <v>3</v>
      </c>
      <c r="F230" t="s">
        <v>854</v>
      </c>
      <c r="G230" s="2">
        <v>1</v>
      </c>
      <c r="H230" t="s">
        <v>32</v>
      </c>
      <c r="I230" t="s">
        <v>6</v>
      </c>
      <c r="J230" s="3">
        <v>1700</v>
      </c>
      <c r="K230" t="s">
        <v>22</v>
      </c>
      <c r="L230" t="s">
        <v>855</v>
      </c>
      <c r="M230" s="4">
        <v>45244</v>
      </c>
    </row>
    <row r="231" spans="1:13" x14ac:dyDescent="0.25">
      <c r="A231">
        <v>56232179</v>
      </c>
      <c r="B231" t="s">
        <v>856</v>
      </c>
      <c r="C231" t="s">
        <v>507</v>
      </c>
      <c r="D231" t="s">
        <v>51</v>
      </c>
      <c r="E231" t="s">
        <v>3</v>
      </c>
      <c r="F231" t="s">
        <v>579</v>
      </c>
      <c r="G231" s="2">
        <v>150</v>
      </c>
      <c r="H231" t="s">
        <v>5</v>
      </c>
      <c r="I231" t="s">
        <v>6</v>
      </c>
      <c r="J231" s="3">
        <v>847.5</v>
      </c>
      <c r="K231" t="s">
        <v>22</v>
      </c>
      <c r="L231" t="s">
        <v>857</v>
      </c>
      <c r="M231" s="4">
        <v>45240</v>
      </c>
    </row>
    <row r="232" spans="1:13" x14ac:dyDescent="0.25">
      <c r="A232">
        <v>56232181</v>
      </c>
      <c r="B232" t="s">
        <v>858</v>
      </c>
      <c r="C232" t="s">
        <v>859</v>
      </c>
      <c r="D232" t="s">
        <v>860</v>
      </c>
      <c r="E232" t="s">
        <v>3</v>
      </c>
      <c r="F232" t="s">
        <v>861</v>
      </c>
      <c r="G232" s="2">
        <v>3200</v>
      </c>
      <c r="H232" t="s">
        <v>5</v>
      </c>
      <c r="I232" t="s">
        <v>25</v>
      </c>
      <c r="J232" s="3">
        <v>0</v>
      </c>
      <c r="K232" t="s">
        <v>862</v>
      </c>
      <c r="L232" t="s">
        <v>863</v>
      </c>
      <c r="M232" s="4">
        <v>45239</v>
      </c>
    </row>
    <row r="233" spans="1:13" x14ac:dyDescent="0.25">
      <c r="A233">
        <v>56232182</v>
      </c>
      <c r="B233" t="s">
        <v>864</v>
      </c>
      <c r="C233" t="s">
        <v>424</v>
      </c>
      <c r="D233" t="s">
        <v>263</v>
      </c>
      <c r="E233" t="s">
        <v>3</v>
      </c>
      <c r="F233" t="s">
        <v>865</v>
      </c>
      <c r="G233" s="2">
        <v>1</v>
      </c>
      <c r="H233" t="s">
        <v>5</v>
      </c>
      <c r="I233" t="s">
        <v>25</v>
      </c>
      <c r="J233" s="3">
        <v>2371.5</v>
      </c>
      <c r="K233" t="s">
        <v>866</v>
      </c>
      <c r="L233" t="s">
        <v>867</v>
      </c>
      <c r="M233" s="4">
        <v>45243</v>
      </c>
    </row>
    <row r="234" spans="1:13" x14ac:dyDescent="0.25">
      <c r="A234">
        <v>56232249</v>
      </c>
      <c r="B234" t="s">
        <v>868</v>
      </c>
      <c r="C234" t="s">
        <v>139</v>
      </c>
      <c r="D234" t="s">
        <v>51</v>
      </c>
      <c r="E234" t="s">
        <v>3</v>
      </c>
      <c r="F234" t="s">
        <v>869</v>
      </c>
      <c r="G234" s="2">
        <v>1</v>
      </c>
      <c r="H234" t="s">
        <v>32</v>
      </c>
      <c r="I234" t="s">
        <v>6</v>
      </c>
      <c r="J234" s="3">
        <v>2850</v>
      </c>
      <c r="K234" t="s">
        <v>22</v>
      </c>
      <c r="L234" t="s">
        <v>870</v>
      </c>
      <c r="M234" s="4">
        <v>45244</v>
      </c>
    </row>
    <row r="235" spans="1:13" x14ac:dyDescent="0.25">
      <c r="A235">
        <v>56248221</v>
      </c>
      <c r="B235" t="s">
        <v>871</v>
      </c>
      <c r="C235" t="s">
        <v>693</v>
      </c>
      <c r="D235" t="s">
        <v>30</v>
      </c>
      <c r="E235" t="s">
        <v>3</v>
      </c>
      <c r="F235" t="s">
        <v>872</v>
      </c>
      <c r="G235" s="2">
        <v>1</v>
      </c>
      <c r="H235" t="s">
        <v>32</v>
      </c>
      <c r="I235" t="s">
        <v>33</v>
      </c>
      <c r="J235" s="3">
        <v>7164</v>
      </c>
      <c r="K235" t="s">
        <v>22</v>
      </c>
      <c r="L235" t="s">
        <v>873</v>
      </c>
      <c r="M235" s="4">
        <v>45243</v>
      </c>
    </row>
    <row r="236" spans="1:13" x14ac:dyDescent="0.25">
      <c r="A236">
        <v>56248318</v>
      </c>
      <c r="B236" t="s">
        <v>874</v>
      </c>
      <c r="C236" t="s">
        <v>693</v>
      </c>
      <c r="D236" t="s">
        <v>30</v>
      </c>
      <c r="E236" t="s">
        <v>3</v>
      </c>
      <c r="F236" t="s">
        <v>875</v>
      </c>
      <c r="G236" s="2">
        <v>1</v>
      </c>
      <c r="H236" t="s">
        <v>32</v>
      </c>
      <c r="I236" t="s">
        <v>33</v>
      </c>
      <c r="J236" s="3">
        <v>2042</v>
      </c>
      <c r="K236" t="s">
        <v>22</v>
      </c>
      <c r="L236" t="s">
        <v>876</v>
      </c>
      <c r="M236" s="4">
        <v>45243</v>
      </c>
    </row>
    <row r="237" spans="1:13" x14ac:dyDescent="0.25">
      <c r="A237">
        <v>56249319</v>
      </c>
      <c r="B237" t="s">
        <v>877</v>
      </c>
      <c r="C237" t="s">
        <v>424</v>
      </c>
      <c r="D237" t="s">
        <v>253</v>
      </c>
      <c r="E237" t="s">
        <v>3</v>
      </c>
      <c r="F237" t="s">
        <v>878</v>
      </c>
      <c r="G237" s="2">
        <v>1</v>
      </c>
      <c r="H237" t="s">
        <v>32</v>
      </c>
      <c r="I237" t="s">
        <v>6</v>
      </c>
      <c r="J237" s="3">
        <v>10575</v>
      </c>
      <c r="K237" t="s">
        <v>22</v>
      </c>
      <c r="L237" t="s">
        <v>879</v>
      </c>
      <c r="M237" s="4">
        <v>45243</v>
      </c>
    </row>
    <row r="238" spans="1:13" x14ac:dyDescent="0.25">
      <c r="A238">
        <v>56249320</v>
      </c>
      <c r="B238" t="s">
        <v>880</v>
      </c>
      <c r="C238" t="s">
        <v>881</v>
      </c>
      <c r="D238" t="s">
        <v>61</v>
      </c>
      <c r="E238" t="s">
        <v>3</v>
      </c>
      <c r="F238" t="s">
        <v>882</v>
      </c>
      <c r="G238" s="2">
        <v>1</v>
      </c>
      <c r="H238" t="s">
        <v>32</v>
      </c>
      <c r="I238" t="s">
        <v>25</v>
      </c>
      <c r="J238" s="3">
        <v>204</v>
      </c>
      <c r="K238" t="s">
        <v>22</v>
      </c>
      <c r="L238" t="s">
        <v>883</v>
      </c>
      <c r="M238" s="4">
        <v>45243</v>
      </c>
    </row>
    <row r="239" spans="1:13" x14ac:dyDescent="0.25">
      <c r="A239">
        <v>56249321</v>
      </c>
      <c r="B239" t="s">
        <v>884</v>
      </c>
      <c r="C239" t="s">
        <v>435</v>
      </c>
      <c r="D239" t="s">
        <v>51</v>
      </c>
      <c r="E239" t="s">
        <v>3</v>
      </c>
      <c r="F239" t="s">
        <v>885</v>
      </c>
      <c r="G239" s="2">
        <v>1</v>
      </c>
      <c r="H239" t="s">
        <v>32</v>
      </c>
      <c r="I239" t="s">
        <v>25</v>
      </c>
      <c r="J239" s="3">
        <v>32400</v>
      </c>
      <c r="K239" t="s">
        <v>22</v>
      </c>
      <c r="L239" t="s">
        <v>886</v>
      </c>
      <c r="M239" s="4">
        <v>45243</v>
      </c>
    </row>
    <row r="240" spans="1:13" x14ac:dyDescent="0.25">
      <c r="A240">
        <v>56249324</v>
      </c>
      <c r="B240" t="s">
        <v>887</v>
      </c>
      <c r="C240" t="s">
        <v>22</v>
      </c>
      <c r="D240" t="s">
        <v>155</v>
      </c>
      <c r="E240" t="s">
        <v>3</v>
      </c>
      <c r="F240" t="s">
        <v>888</v>
      </c>
      <c r="G240" s="2">
        <v>1</v>
      </c>
      <c r="H240" t="s">
        <v>5</v>
      </c>
      <c r="I240" t="s">
        <v>25</v>
      </c>
      <c r="J240" s="3">
        <v>1000</v>
      </c>
      <c r="K240" t="s">
        <v>889</v>
      </c>
      <c r="L240" t="s">
        <v>890</v>
      </c>
      <c r="M240" s="4">
        <v>45243</v>
      </c>
    </row>
    <row r="241" spans="1:13" x14ac:dyDescent="0.25">
      <c r="A241">
        <v>56249325</v>
      </c>
      <c r="B241" t="s">
        <v>891</v>
      </c>
      <c r="C241" t="s">
        <v>22</v>
      </c>
      <c r="D241" t="s">
        <v>155</v>
      </c>
      <c r="E241" t="s">
        <v>3</v>
      </c>
      <c r="F241" t="s">
        <v>892</v>
      </c>
      <c r="G241" s="2">
        <v>1</v>
      </c>
      <c r="H241" t="s">
        <v>5</v>
      </c>
      <c r="I241" t="s">
        <v>25</v>
      </c>
      <c r="J241" s="3">
        <v>3000</v>
      </c>
      <c r="K241" t="s">
        <v>893</v>
      </c>
      <c r="L241" t="s">
        <v>894</v>
      </c>
      <c r="M241" s="4">
        <v>45243</v>
      </c>
    </row>
    <row r="242" spans="1:13" x14ac:dyDescent="0.25">
      <c r="A242">
        <v>56249371</v>
      </c>
      <c r="B242" t="s">
        <v>895</v>
      </c>
      <c r="C242" t="s">
        <v>22</v>
      </c>
      <c r="D242" t="s">
        <v>896</v>
      </c>
      <c r="E242" t="s">
        <v>3</v>
      </c>
      <c r="F242" t="s">
        <v>897</v>
      </c>
      <c r="G242" s="2">
        <v>1</v>
      </c>
      <c r="H242" t="s">
        <v>32</v>
      </c>
      <c r="I242" t="s">
        <v>25</v>
      </c>
      <c r="J242" s="3">
        <v>6000</v>
      </c>
      <c r="K242" t="s">
        <v>22</v>
      </c>
      <c r="L242" t="s">
        <v>898</v>
      </c>
      <c r="M242" s="4">
        <v>45245</v>
      </c>
    </row>
    <row r="243" spans="1:13" x14ac:dyDescent="0.25">
      <c r="A243">
        <v>56249374</v>
      </c>
      <c r="B243" t="s">
        <v>899</v>
      </c>
      <c r="C243" t="s">
        <v>693</v>
      </c>
      <c r="D243" t="s">
        <v>30</v>
      </c>
      <c r="E243" t="s">
        <v>3</v>
      </c>
      <c r="F243" t="s">
        <v>900</v>
      </c>
      <c r="G243" s="2">
        <v>1</v>
      </c>
      <c r="H243" t="s">
        <v>32</v>
      </c>
      <c r="I243" t="s">
        <v>33</v>
      </c>
      <c r="J243" s="3">
        <v>117200</v>
      </c>
      <c r="K243" t="s">
        <v>22</v>
      </c>
      <c r="L243" t="s">
        <v>901</v>
      </c>
      <c r="M243" s="4">
        <v>45253</v>
      </c>
    </row>
    <row r="244" spans="1:13" x14ac:dyDescent="0.25">
      <c r="A244">
        <v>56249375</v>
      </c>
      <c r="B244" t="s">
        <v>902</v>
      </c>
      <c r="C244" t="s">
        <v>903</v>
      </c>
      <c r="D244" t="s">
        <v>30</v>
      </c>
      <c r="E244" t="s">
        <v>3</v>
      </c>
      <c r="F244" t="s">
        <v>904</v>
      </c>
      <c r="G244" s="2">
        <v>1</v>
      </c>
      <c r="H244" t="s">
        <v>32</v>
      </c>
      <c r="I244" t="s">
        <v>77</v>
      </c>
      <c r="J244" s="3">
        <v>91000</v>
      </c>
      <c r="K244" t="s">
        <v>22</v>
      </c>
      <c r="L244" t="s">
        <v>905</v>
      </c>
      <c r="M244" s="4">
        <v>45245</v>
      </c>
    </row>
    <row r="245" spans="1:13" x14ac:dyDescent="0.25">
      <c r="A245">
        <v>56249376</v>
      </c>
      <c r="B245" t="s">
        <v>906</v>
      </c>
      <c r="C245" t="s">
        <v>693</v>
      </c>
      <c r="D245" t="s">
        <v>30</v>
      </c>
      <c r="E245" t="s">
        <v>3</v>
      </c>
      <c r="F245" t="s">
        <v>907</v>
      </c>
      <c r="G245" s="2">
        <v>1</v>
      </c>
      <c r="H245" t="s">
        <v>32</v>
      </c>
      <c r="I245" t="s">
        <v>33</v>
      </c>
      <c r="J245" s="3">
        <v>376393</v>
      </c>
      <c r="K245" t="s">
        <v>22</v>
      </c>
      <c r="L245" t="s">
        <v>822</v>
      </c>
      <c r="M245" s="4">
        <v>45245</v>
      </c>
    </row>
    <row r="246" spans="1:13" x14ac:dyDescent="0.25">
      <c r="A246">
        <v>56249387</v>
      </c>
      <c r="B246" t="s">
        <v>908</v>
      </c>
      <c r="C246" t="s">
        <v>693</v>
      </c>
      <c r="D246" t="s">
        <v>30</v>
      </c>
      <c r="E246" t="s">
        <v>3</v>
      </c>
      <c r="F246" t="s">
        <v>909</v>
      </c>
      <c r="G246" s="2">
        <v>1</v>
      </c>
      <c r="H246" t="s">
        <v>32</v>
      </c>
      <c r="I246" t="s">
        <v>33</v>
      </c>
      <c r="J246" s="3">
        <v>730332</v>
      </c>
      <c r="K246" t="s">
        <v>22</v>
      </c>
      <c r="L246" t="s">
        <v>822</v>
      </c>
      <c r="M246" s="4">
        <v>45245</v>
      </c>
    </row>
    <row r="247" spans="1:13" x14ac:dyDescent="0.25">
      <c r="A247">
        <v>56249388</v>
      </c>
      <c r="B247" t="s">
        <v>910</v>
      </c>
      <c r="C247" t="s">
        <v>689</v>
      </c>
      <c r="D247" t="s">
        <v>215</v>
      </c>
      <c r="E247" t="s">
        <v>3</v>
      </c>
      <c r="F247" t="s">
        <v>911</v>
      </c>
      <c r="G247" s="2">
        <v>1</v>
      </c>
      <c r="H247" t="s">
        <v>32</v>
      </c>
      <c r="I247" t="s">
        <v>77</v>
      </c>
      <c r="J247" s="3">
        <v>653332.29</v>
      </c>
      <c r="K247" t="s">
        <v>22</v>
      </c>
      <c r="L247" t="s">
        <v>912</v>
      </c>
      <c r="M247" s="4">
        <v>45244</v>
      </c>
    </row>
    <row r="248" spans="1:13" x14ac:dyDescent="0.25">
      <c r="A248">
        <v>56249391</v>
      </c>
      <c r="B248" t="s">
        <v>913</v>
      </c>
      <c r="C248" t="s">
        <v>424</v>
      </c>
      <c r="D248" t="s">
        <v>61</v>
      </c>
      <c r="E248" t="s">
        <v>3</v>
      </c>
      <c r="F248" t="s">
        <v>914</v>
      </c>
      <c r="G248" s="2">
        <v>1</v>
      </c>
      <c r="H248" t="s">
        <v>32</v>
      </c>
      <c r="I248" t="s">
        <v>6</v>
      </c>
      <c r="J248" s="3">
        <v>1600</v>
      </c>
      <c r="K248" t="s">
        <v>22</v>
      </c>
      <c r="L248" t="s">
        <v>915</v>
      </c>
      <c r="M248" s="4">
        <v>45244</v>
      </c>
    </row>
    <row r="249" spans="1:13" x14ac:dyDescent="0.25">
      <c r="A249">
        <v>56249392</v>
      </c>
      <c r="B249" t="s">
        <v>916</v>
      </c>
      <c r="C249" t="s">
        <v>917</v>
      </c>
      <c r="D249" t="s">
        <v>253</v>
      </c>
      <c r="E249" t="s">
        <v>3</v>
      </c>
      <c r="F249" t="s">
        <v>918</v>
      </c>
      <c r="G249" s="2">
        <v>40</v>
      </c>
      <c r="H249" t="s">
        <v>32</v>
      </c>
      <c r="I249" t="s">
        <v>6</v>
      </c>
      <c r="J249" s="3">
        <v>432.8</v>
      </c>
      <c r="K249" t="s">
        <v>22</v>
      </c>
      <c r="L249" t="s">
        <v>919</v>
      </c>
      <c r="M249" s="4">
        <v>45243</v>
      </c>
    </row>
    <row r="250" spans="1:13" x14ac:dyDescent="0.25">
      <c r="A250">
        <v>56249393</v>
      </c>
      <c r="B250" t="s">
        <v>922</v>
      </c>
      <c r="C250" t="s">
        <v>917</v>
      </c>
      <c r="D250" t="s">
        <v>253</v>
      </c>
      <c r="E250" t="s">
        <v>3</v>
      </c>
      <c r="F250" t="s">
        <v>923</v>
      </c>
      <c r="G250" s="2">
        <v>30</v>
      </c>
      <c r="H250" t="s">
        <v>32</v>
      </c>
      <c r="I250" t="s">
        <v>6</v>
      </c>
      <c r="J250" s="3">
        <v>800.4</v>
      </c>
      <c r="K250" t="s">
        <v>22</v>
      </c>
      <c r="L250" t="s">
        <v>924</v>
      </c>
      <c r="M250" s="4">
        <v>45245</v>
      </c>
    </row>
    <row r="251" spans="1:13" x14ac:dyDescent="0.25">
      <c r="A251">
        <v>56249394</v>
      </c>
      <c r="B251" t="s">
        <v>925</v>
      </c>
      <c r="C251" t="s">
        <v>139</v>
      </c>
      <c r="D251" t="s">
        <v>96</v>
      </c>
      <c r="E251" t="s">
        <v>3</v>
      </c>
      <c r="F251" t="s">
        <v>926</v>
      </c>
      <c r="G251" s="2">
        <v>1</v>
      </c>
      <c r="H251" t="s">
        <v>32</v>
      </c>
      <c r="I251" t="s">
        <v>6</v>
      </c>
      <c r="J251" s="3">
        <v>6400</v>
      </c>
      <c r="K251" t="s">
        <v>22</v>
      </c>
      <c r="L251" t="s">
        <v>927</v>
      </c>
      <c r="M251" s="4">
        <v>45244</v>
      </c>
    </row>
    <row r="252" spans="1:13" x14ac:dyDescent="0.25">
      <c r="A252">
        <v>56249429</v>
      </c>
      <c r="B252" t="s">
        <v>928</v>
      </c>
      <c r="C252" t="s">
        <v>664</v>
      </c>
      <c r="D252" t="s">
        <v>23</v>
      </c>
      <c r="E252" t="s">
        <v>3</v>
      </c>
      <c r="F252" t="s">
        <v>552</v>
      </c>
      <c r="G252" s="2">
        <v>1</v>
      </c>
      <c r="H252" t="s">
        <v>5</v>
      </c>
      <c r="I252" t="s">
        <v>25</v>
      </c>
      <c r="J252" s="3">
        <v>4400</v>
      </c>
      <c r="K252" t="s">
        <v>929</v>
      </c>
      <c r="L252" t="s">
        <v>930</v>
      </c>
      <c r="M252" s="4">
        <v>45250</v>
      </c>
    </row>
    <row r="253" spans="1:13" x14ac:dyDescent="0.25">
      <c r="A253">
        <v>56249430</v>
      </c>
      <c r="B253" t="s">
        <v>931</v>
      </c>
      <c r="C253" t="s">
        <v>257</v>
      </c>
      <c r="D253" t="s">
        <v>215</v>
      </c>
      <c r="E253" t="s">
        <v>3</v>
      </c>
      <c r="F253" t="s">
        <v>932</v>
      </c>
      <c r="G253" s="2">
        <v>1</v>
      </c>
      <c r="H253" t="s">
        <v>32</v>
      </c>
      <c r="I253" t="s">
        <v>25</v>
      </c>
      <c r="J253" s="3">
        <v>7000</v>
      </c>
      <c r="K253" t="s">
        <v>22</v>
      </c>
      <c r="L253" t="s">
        <v>933</v>
      </c>
      <c r="M253" s="4">
        <v>45246</v>
      </c>
    </row>
    <row r="254" spans="1:13" x14ac:dyDescent="0.25">
      <c r="A254">
        <v>56249431</v>
      </c>
      <c r="B254" t="s">
        <v>934</v>
      </c>
      <c r="C254" t="s">
        <v>22</v>
      </c>
      <c r="D254" t="s">
        <v>23</v>
      </c>
      <c r="E254" t="s">
        <v>3</v>
      </c>
      <c r="F254" t="s">
        <v>935</v>
      </c>
      <c r="G254" s="2">
        <v>1</v>
      </c>
      <c r="H254" t="s">
        <v>5</v>
      </c>
      <c r="I254" t="s">
        <v>25</v>
      </c>
      <c r="J254" s="3">
        <v>1500</v>
      </c>
      <c r="K254" t="s">
        <v>936</v>
      </c>
      <c r="L254" t="s">
        <v>937</v>
      </c>
      <c r="M254" s="4">
        <v>45244</v>
      </c>
    </row>
    <row r="255" spans="1:13" x14ac:dyDescent="0.25">
      <c r="A255">
        <v>56249432</v>
      </c>
      <c r="B255" t="s">
        <v>938</v>
      </c>
      <c r="C255" t="s">
        <v>252</v>
      </c>
      <c r="D255" t="s">
        <v>253</v>
      </c>
      <c r="E255" t="s">
        <v>3</v>
      </c>
      <c r="F255" t="s">
        <v>939</v>
      </c>
      <c r="G255" s="2">
        <v>1</v>
      </c>
      <c r="H255" t="s">
        <v>32</v>
      </c>
      <c r="I255" t="s">
        <v>25</v>
      </c>
      <c r="J255" s="3">
        <v>1100</v>
      </c>
      <c r="K255" t="s">
        <v>22</v>
      </c>
      <c r="L255" t="s">
        <v>940</v>
      </c>
      <c r="M255" s="4">
        <v>45244</v>
      </c>
    </row>
    <row r="256" spans="1:13" x14ac:dyDescent="0.25">
      <c r="A256">
        <v>56249433</v>
      </c>
      <c r="B256" t="s">
        <v>941</v>
      </c>
      <c r="C256" t="s">
        <v>521</v>
      </c>
      <c r="D256" t="s">
        <v>51</v>
      </c>
      <c r="E256" t="s">
        <v>3</v>
      </c>
      <c r="F256" t="s">
        <v>534</v>
      </c>
      <c r="G256" s="2">
        <v>2000</v>
      </c>
      <c r="H256" t="s">
        <v>535</v>
      </c>
      <c r="I256" t="s">
        <v>25</v>
      </c>
      <c r="J256" s="3">
        <v>501.12</v>
      </c>
      <c r="K256" t="s">
        <v>22</v>
      </c>
      <c r="L256" t="s">
        <v>942</v>
      </c>
      <c r="M256" s="4">
        <v>45244</v>
      </c>
    </row>
    <row r="257" spans="1:13" x14ac:dyDescent="0.25">
      <c r="A257">
        <v>56249434</v>
      </c>
      <c r="B257" t="s">
        <v>943</v>
      </c>
      <c r="C257" t="s">
        <v>664</v>
      </c>
      <c r="D257" t="s">
        <v>23</v>
      </c>
      <c r="E257" t="s">
        <v>3</v>
      </c>
      <c r="F257" t="s">
        <v>552</v>
      </c>
      <c r="G257" s="2">
        <v>1</v>
      </c>
      <c r="H257" t="s">
        <v>5</v>
      </c>
      <c r="I257" t="s">
        <v>25</v>
      </c>
      <c r="J257" s="3">
        <v>4400</v>
      </c>
      <c r="K257" t="s">
        <v>944</v>
      </c>
      <c r="L257" t="s">
        <v>945</v>
      </c>
      <c r="M257" s="4">
        <v>45245</v>
      </c>
    </row>
    <row r="258" spans="1:13" x14ac:dyDescent="0.25">
      <c r="A258">
        <v>56249449</v>
      </c>
      <c r="B258" t="s">
        <v>946</v>
      </c>
      <c r="C258" t="s">
        <v>22</v>
      </c>
      <c r="D258" t="s">
        <v>23</v>
      </c>
      <c r="E258" t="s">
        <v>3</v>
      </c>
      <c r="F258" t="s">
        <v>947</v>
      </c>
      <c r="G258" s="2">
        <v>4</v>
      </c>
      <c r="H258" t="s">
        <v>32</v>
      </c>
      <c r="I258" t="s">
        <v>117</v>
      </c>
      <c r="J258" s="3">
        <v>3300</v>
      </c>
      <c r="K258" t="s">
        <v>22</v>
      </c>
      <c r="L258" t="s">
        <v>948</v>
      </c>
      <c r="M258" s="4">
        <v>45245</v>
      </c>
    </row>
    <row r="259" spans="1:13" x14ac:dyDescent="0.25">
      <c r="A259">
        <v>56249450</v>
      </c>
      <c r="B259" t="s">
        <v>949</v>
      </c>
      <c r="C259" t="s">
        <v>305</v>
      </c>
      <c r="D259" t="s">
        <v>289</v>
      </c>
      <c r="E259" t="s">
        <v>3</v>
      </c>
      <c r="F259" t="s">
        <v>306</v>
      </c>
      <c r="G259" s="2">
        <v>14</v>
      </c>
      <c r="H259" t="s">
        <v>32</v>
      </c>
      <c r="I259" t="s">
        <v>6</v>
      </c>
      <c r="J259" s="3">
        <v>448</v>
      </c>
      <c r="K259" t="s">
        <v>22</v>
      </c>
      <c r="L259" t="s">
        <v>950</v>
      </c>
      <c r="M259" s="4">
        <v>45275</v>
      </c>
    </row>
    <row r="260" spans="1:13" x14ac:dyDescent="0.25">
      <c r="A260">
        <v>56249468</v>
      </c>
      <c r="B260" t="s">
        <v>951</v>
      </c>
      <c r="C260" t="s">
        <v>952</v>
      </c>
      <c r="D260" t="s">
        <v>75</v>
      </c>
      <c r="E260" t="s">
        <v>3</v>
      </c>
      <c r="F260" t="s">
        <v>953</v>
      </c>
      <c r="G260" s="2">
        <v>160</v>
      </c>
      <c r="H260" t="s">
        <v>32</v>
      </c>
      <c r="I260" t="s">
        <v>25</v>
      </c>
      <c r="J260" s="3">
        <v>254.4</v>
      </c>
      <c r="K260" t="s">
        <v>22</v>
      </c>
      <c r="L260" t="s">
        <v>954</v>
      </c>
      <c r="M260" s="4">
        <v>45246</v>
      </c>
    </row>
    <row r="261" spans="1:13" x14ac:dyDescent="0.25">
      <c r="A261">
        <v>56250590</v>
      </c>
      <c r="B261" t="s">
        <v>955</v>
      </c>
      <c r="C261" t="s">
        <v>22</v>
      </c>
      <c r="D261" t="s">
        <v>115</v>
      </c>
      <c r="E261" t="s">
        <v>3</v>
      </c>
      <c r="F261" t="s">
        <v>956</v>
      </c>
      <c r="G261" s="2">
        <v>6</v>
      </c>
      <c r="H261" t="s">
        <v>5</v>
      </c>
      <c r="I261" t="s">
        <v>33</v>
      </c>
      <c r="J261" s="3">
        <v>0</v>
      </c>
      <c r="K261" t="s">
        <v>957</v>
      </c>
      <c r="L261" t="s">
        <v>958</v>
      </c>
      <c r="M261" s="4">
        <v>45252</v>
      </c>
    </row>
    <row r="262" spans="1:13" x14ac:dyDescent="0.25">
      <c r="A262">
        <v>56250801</v>
      </c>
      <c r="B262" t="s">
        <v>959</v>
      </c>
      <c r="C262" t="s">
        <v>960</v>
      </c>
      <c r="D262" t="s">
        <v>245</v>
      </c>
      <c r="E262" t="s">
        <v>3</v>
      </c>
      <c r="F262" t="s">
        <v>961</v>
      </c>
      <c r="G262" s="2">
        <v>4</v>
      </c>
      <c r="H262" t="s">
        <v>32</v>
      </c>
      <c r="I262" t="s">
        <v>117</v>
      </c>
      <c r="J262" s="3">
        <v>2740</v>
      </c>
      <c r="K262" t="s">
        <v>22</v>
      </c>
      <c r="L262" t="s">
        <v>962</v>
      </c>
      <c r="M262" s="4">
        <v>45244</v>
      </c>
    </row>
    <row r="263" spans="1:13" x14ac:dyDescent="0.25">
      <c r="A263">
        <v>56250836</v>
      </c>
      <c r="B263" t="s">
        <v>744</v>
      </c>
      <c r="C263" t="s">
        <v>22</v>
      </c>
      <c r="D263" t="s">
        <v>237</v>
      </c>
      <c r="E263" t="s">
        <v>3</v>
      </c>
      <c r="F263" t="s">
        <v>963</v>
      </c>
      <c r="G263" s="2">
        <v>1</v>
      </c>
      <c r="H263" t="s">
        <v>5</v>
      </c>
      <c r="I263" t="s">
        <v>33</v>
      </c>
      <c r="J263" s="3">
        <v>0</v>
      </c>
      <c r="K263" t="s">
        <v>964</v>
      </c>
      <c r="L263" t="s">
        <v>965</v>
      </c>
      <c r="M263" s="4">
        <v>45264</v>
      </c>
    </row>
    <row r="264" spans="1:13" x14ac:dyDescent="0.25">
      <c r="A264">
        <v>56250923</v>
      </c>
      <c r="B264" t="s">
        <v>966</v>
      </c>
      <c r="C264" t="s">
        <v>197</v>
      </c>
      <c r="D264" t="s">
        <v>96</v>
      </c>
      <c r="E264" t="s">
        <v>3</v>
      </c>
      <c r="F264" t="s">
        <v>812</v>
      </c>
      <c r="G264" s="2">
        <v>250</v>
      </c>
      <c r="H264" t="s">
        <v>32</v>
      </c>
      <c r="I264" t="s">
        <v>25</v>
      </c>
      <c r="J264" s="3">
        <v>2662.75</v>
      </c>
      <c r="K264" t="s">
        <v>22</v>
      </c>
      <c r="L264" t="s">
        <v>967</v>
      </c>
      <c r="M264" s="4">
        <v>45251</v>
      </c>
    </row>
    <row r="265" spans="1:13" x14ac:dyDescent="0.25">
      <c r="A265">
        <v>56250929</v>
      </c>
      <c r="B265" t="s">
        <v>968</v>
      </c>
      <c r="C265" t="s">
        <v>347</v>
      </c>
      <c r="D265" t="s">
        <v>148</v>
      </c>
      <c r="E265" t="s">
        <v>3</v>
      </c>
      <c r="F265" t="s">
        <v>969</v>
      </c>
      <c r="G265" s="2">
        <v>1</v>
      </c>
      <c r="H265" t="s">
        <v>32</v>
      </c>
      <c r="I265" t="s">
        <v>117</v>
      </c>
      <c r="J265" s="3">
        <v>8420.94</v>
      </c>
      <c r="K265" t="s">
        <v>22</v>
      </c>
      <c r="L265" t="s">
        <v>970</v>
      </c>
      <c r="M265" s="4">
        <v>45244</v>
      </c>
    </row>
    <row r="266" spans="1:13" x14ac:dyDescent="0.25">
      <c r="A266">
        <v>56250930</v>
      </c>
      <c r="B266" t="s">
        <v>971</v>
      </c>
      <c r="C266" t="s">
        <v>452</v>
      </c>
      <c r="D266" t="s">
        <v>210</v>
      </c>
      <c r="E266" t="s">
        <v>3</v>
      </c>
      <c r="F266" t="s">
        <v>972</v>
      </c>
      <c r="G266" s="2">
        <v>2</v>
      </c>
      <c r="H266" t="s">
        <v>32</v>
      </c>
      <c r="I266" t="s">
        <v>117</v>
      </c>
      <c r="J266" s="3">
        <v>26078.26</v>
      </c>
      <c r="K266" t="s">
        <v>22</v>
      </c>
      <c r="L266" t="s">
        <v>973</v>
      </c>
      <c r="M266" s="4">
        <v>45244</v>
      </c>
    </row>
    <row r="267" spans="1:13" x14ac:dyDescent="0.25">
      <c r="A267">
        <v>56251186</v>
      </c>
      <c r="B267" t="s">
        <v>974</v>
      </c>
      <c r="C267" t="s">
        <v>147</v>
      </c>
      <c r="D267" t="s">
        <v>148</v>
      </c>
      <c r="E267" t="s">
        <v>3</v>
      </c>
      <c r="F267" t="s">
        <v>975</v>
      </c>
      <c r="G267" s="2">
        <v>2</v>
      </c>
      <c r="H267" t="s">
        <v>32</v>
      </c>
      <c r="I267" t="s">
        <v>117</v>
      </c>
      <c r="J267" s="3">
        <v>3355</v>
      </c>
      <c r="K267" t="s">
        <v>22</v>
      </c>
      <c r="L267" t="s">
        <v>976</v>
      </c>
      <c r="M267" s="4">
        <v>45244</v>
      </c>
    </row>
    <row r="268" spans="1:13" x14ac:dyDescent="0.25">
      <c r="A268">
        <v>56251204</v>
      </c>
      <c r="B268" t="s">
        <v>977</v>
      </c>
      <c r="C268" t="s">
        <v>978</v>
      </c>
      <c r="D268" t="s">
        <v>96</v>
      </c>
      <c r="E268" t="s">
        <v>3</v>
      </c>
      <c r="F268" t="s">
        <v>979</v>
      </c>
      <c r="G268" s="2">
        <v>1</v>
      </c>
      <c r="H268" t="s">
        <v>32</v>
      </c>
      <c r="I268" t="s">
        <v>25</v>
      </c>
      <c r="J268" s="3">
        <v>156700</v>
      </c>
      <c r="K268" t="s">
        <v>22</v>
      </c>
      <c r="L268" t="s">
        <v>980</v>
      </c>
      <c r="M268" s="4">
        <v>45247</v>
      </c>
    </row>
    <row r="269" spans="1:13" x14ac:dyDescent="0.25">
      <c r="A269">
        <v>56251207</v>
      </c>
      <c r="B269" t="s">
        <v>981</v>
      </c>
      <c r="C269" t="s">
        <v>163</v>
      </c>
      <c r="D269" t="s">
        <v>148</v>
      </c>
      <c r="E269" t="s">
        <v>3</v>
      </c>
      <c r="F269" t="s">
        <v>982</v>
      </c>
      <c r="G269" s="2">
        <v>1</v>
      </c>
      <c r="H269" t="s">
        <v>32</v>
      </c>
      <c r="I269" t="s">
        <v>117</v>
      </c>
      <c r="J269" s="3">
        <v>18144</v>
      </c>
      <c r="K269" t="s">
        <v>22</v>
      </c>
      <c r="L269" t="s">
        <v>983</v>
      </c>
      <c r="M269" s="4">
        <v>45246</v>
      </c>
    </row>
    <row r="270" spans="1:13" x14ac:dyDescent="0.25">
      <c r="A270">
        <v>56251208</v>
      </c>
      <c r="B270" t="s">
        <v>984</v>
      </c>
      <c r="C270" t="s">
        <v>985</v>
      </c>
      <c r="D270" t="s">
        <v>148</v>
      </c>
      <c r="E270" t="s">
        <v>3</v>
      </c>
      <c r="F270" t="s">
        <v>986</v>
      </c>
      <c r="G270" s="2">
        <v>1</v>
      </c>
      <c r="H270" t="s">
        <v>32</v>
      </c>
      <c r="I270" t="s">
        <v>117</v>
      </c>
      <c r="J270" s="3">
        <v>2400</v>
      </c>
      <c r="K270" t="s">
        <v>22</v>
      </c>
      <c r="L270" t="s">
        <v>987</v>
      </c>
      <c r="M270" s="4">
        <v>45246</v>
      </c>
    </row>
    <row r="271" spans="1:13" x14ac:dyDescent="0.25">
      <c r="A271">
        <v>56251209</v>
      </c>
      <c r="B271" t="s">
        <v>988</v>
      </c>
      <c r="C271" t="s">
        <v>989</v>
      </c>
      <c r="D271" t="s">
        <v>148</v>
      </c>
      <c r="E271" t="s">
        <v>3</v>
      </c>
      <c r="F271" t="s">
        <v>990</v>
      </c>
      <c r="G271" s="2">
        <v>1</v>
      </c>
      <c r="H271" t="s">
        <v>32</v>
      </c>
      <c r="I271" t="s">
        <v>117</v>
      </c>
      <c r="J271" s="3">
        <v>32100.65</v>
      </c>
      <c r="K271" t="s">
        <v>22</v>
      </c>
      <c r="L271" t="s">
        <v>991</v>
      </c>
      <c r="M271" s="4">
        <v>45247</v>
      </c>
    </row>
    <row r="272" spans="1:13" x14ac:dyDescent="0.25">
      <c r="A272">
        <v>56251210</v>
      </c>
      <c r="B272" t="s">
        <v>992</v>
      </c>
      <c r="C272" t="s">
        <v>989</v>
      </c>
      <c r="D272" t="s">
        <v>148</v>
      </c>
      <c r="E272" t="s">
        <v>3</v>
      </c>
      <c r="F272" t="s">
        <v>993</v>
      </c>
      <c r="G272" s="2">
        <v>1</v>
      </c>
      <c r="H272" t="s">
        <v>32</v>
      </c>
      <c r="I272" t="s">
        <v>117</v>
      </c>
      <c r="J272" s="3">
        <v>32100.65</v>
      </c>
      <c r="K272" t="s">
        <v>22</v>
      </c>
      <c r="L272" t="s">
        <v>994</v>
      </c>
      <c r="M272" s="4">
        <v>45247</v>
      </c>
    </row>
    <row r="273" spans="1:13" x14ac:dyDescent="0.25">
      <c r="A273">
        <v>56251211</v>
      </c>
      <c r="B273" t="s">
        <v>995</v>
      </c>
      <c r="C273" t="s">
        <v>989</v>
      </c>
      <c r="D273" t="s">
        <v>148</v>
      </c>
      <c r="E273" t="s">
        <v>3</v>
      </c>
      <c r="F273" t="s">
        <v>996</v>
      </c>
      <c r="G273" s="2">
        <v>1</v>
      </c>
      <c r="H273" t="s">
        <v>32</v>
      </c>
      <c r="I273" t="s">
        <v>117</v>
      </c>
      <c r="J273" s="3">
        <v>5938.4</v>
      </c>
      <c r="K273" t="s">
        <v>22</v>
      </c>
      <c r="L273" t="s">
        <v>997</v>
      </c>
      <c r="M273" s="4">
        <v>45247</v>
      </c>
    </row>
    <row r="274" spans="1:13" x14ac:dyDescent="0.25">
      <c r="A274">
        <v>56251212</v>
      </c>
      <c r="B274" t="s">
        <v>998</v>
      </c>
      <c r="C274" t="s">
        <v>999</v>
      </c>
      <c r="D274" t="s">
        <v>96</v>
      </c>
      <c r="E274" t="s">
        <v>3</v>
      </c>
      <c r="F274" t="s">
        <v>1000</v>
      </c>
      <c r="G274" s="2">
        <v>1</v>
      </c>
      <c r="H274" t="s">
        <v>1001</v>
      </c>
      <c r="I274" t="s">
        <v>6</v>
      </c>
      <c r="J274" s="3">
        <v>1500</v>
      </c>
      <c r="K274" t="s">
        <v>22</v>
      </c>
      <c r="L274" t="s">
        <v>1002</v>
      </c>
      <c r="M274" s="4">
        <v>45246</v>
      </c>
    </row>
    <row r="275" spans="1:13" x14ac:dyDescent="0.25">
      <c r="A275">
        <v>56251214</v>
      </c>
      <c r="B275" t="s">
        <v>1003</v>
      </c>
      <c r="C275" t="s">
        <v>22</v>
      </c>
      <c r="D275" t="s">
        <v>1004</v>
      </c>
      <c r="E275" t="s">
        <v>3</v>
      </c>
      <c r="F275" t="s">
        <v>1005</v>
      </c>
      <c r="G275" s="2">
        <v>200</v>
      </c>
      <c r="H275" t="s">
        <v>5</v>
      </c>
      <c r="I275" t="s">
        <v>25</v>
      </c>
      <c r="J275" s="3">
        <v>290</v>
      </c>
      <c r="K275" t="s">
        <v>1006</v>
      </c>
      <c r="L275" t="s">
        <v>1007</v>
      </c>
      <c r="M275" s="4">
        <v>45245</v>
      </c>
    </row>
    <row r="276" spans="1:13" x14ac:dyDescent="0.25">
      <c r="A276">
        <v>56251215</v>
      </c>
      <c r="B276" t="s">
        <v>1008</v>
      </c>
      <c r="C276" t="s">
        <v>486</v>
      </c>
      <c r="D276" t="s">
        <v>51</v>
      </c>
      <c r="E276" t="s">
        <v>3</v>
      </c>
      <c r="F276" t="s">
        <v>1009</v>
      </c>
      <c r="G276" s="2">
        <v>62</v>
      </c>
      <c r="H276" t="s">
        <v>5</v>
      </c>
      <c r="I276" t="s">
        <v>6</v>
      </c>
      <c r="J276" s="3">
        <v>1101.74</v>
      </c>
      <c r="K276" t="s">
        <v>22</v>
      </c>
      <c r="L276" t="s">
        <v>1010</v>
      </c>
      <c r="M276" s="4">
        <v>45245</v>
      </c>
    </row>
    <row r="277" spans="1:13" x14ac:dyDescent="0.25">
      <c r="A277">
        <v>56251216</v>
      </c>
      <c r="B277" t="s">
        <v>1011</v>
      </c>
      <c r="C277" t="s">
        <v>1012</v>
      </c>
      <c r="D277" t="s">
        <v>75</v>
      </c>
      <c r="E277" t="s">
        <v>3</v>
      </c>
      <c r="F277" t="s">
        <v>1013</v>
      </c>
      <c r="G277" s="2">
        <v>72</v>
      </c>
      <c r="H277" t="s">
        <v>32</v>
      </c>
      <c r="I277" t="s">
        <v>6</v>
      </c>
      <c r="J277" s="3">
        <v>779.76</v>
      </c>
      <c r="K277" t="s">
        <v>22</v>
      </c>
      <c r="L277" t="s">
        <v>1014</v>
      </c>
      <c r="M277" s="4">
        <v>45246</v>
      </c>
    </row>
    <row r="278" spans="1:13" x14ac:dyDescent="0.25">
      <c r="A278">
        <v>56251217</v>
      </c>
      <c r="B278" t="s">
        <v>1015</v>
      </c>
      <c r="C278" t="s">
        <v>1016</v>
      </c>
      <c r="D278" t="s">
        <v>289</v>
      </c>
      <c r="E278" t="s">
        <v>3</v>
      </c>
      <c r="F278" t="s">
        <v>1017</v>
      </c>
      <c r="G278" s="2">
        <v>7000</v>
      </c>
      <c r="H278" t="s">
        <v>32</v>
      </c>
      <c r="I278" t="s">
        <v>6</v>
      </c>
      <c r="J278" s="3">
        <v>2450</v>
      </c>
      <c r="K278" t="s">
        <v>22</v>
      </c>
      <c r="L278" t="s">
        <v>1018</v>
      </c>
      <c r="M278" s="4">
        <v>45251</v>
      </c>
    </row>
    <row r="279" spans="1:13" x14ac:dyDescent="0.25">
      <c r="A279">
        <v>56251218</v>
      </c>
      <c r="B279" t="s">
        <v>1019</v>
      </c>
      <c r="C279" t="s">
        <v>11</v>
      </c>
      <c r="D279" t="s">
        <v>51</v>
      </c>
      <c r="E279" t="s">
        <v>3</v>
      </c>
      <c r="F279" t="s">
        <v>1020</v>
      </c>
      <c r="G279" s="2">
        <v>223</v>
      </c>
      <c r="H279" t="s">
        <v>13</v>
      </c>
      <c r="I279" t="s">
        <v>6</v>
      </c>
      <c r="J279" s="3">
        <v>2381.3200000000002</v>
      </c>
      <c r="K279" t="s">
        <v>22</v>
      </c>
      <c r="L279" t="s">
        <v>1021</v>
      </c>
      <c r="M279" s="4">
        <v>45246</v>
      </c>
    </row>
    <row r="280" spans="1:13" x14ac:dyDescent="0.25">
      <c r="A280">
        <v>56251219</v>
      </c>
      <c r="B280" t="s">
        <v>1022</v>
      </c>
      <c r="C280" t="s">
        <v>1023</v>
      </c>
      <c r="D280" t="s">
        <v>210</v>
      </c>
      <c r="E280" t="s">
        <v>3</v>
      </c>
      <c r="F280" t="s">
        <v>1024</v>
      </c>
      <c r="G280" s="2">
        <v>2000</v>
      </c>
      <c r="H280" t="s">
        <v>13</v>
      </c>
      <c r="I280" t="s">
        <v>6</v>
      </c>
      <c r="J280" s="3">
        <v>1</v>
      </c>
      <c r="K280" t="s">
        <v>22</v>
      </c>
      <c r="L280" t="s">
        <v>1025</v>
      </c>
      <c r="M280" s="4">
        <v>45245</v>
      </c>
    </row>
    <row r="281" spans="1:13" x14ac:dyDescent="0.25">
      <c r="A281">
        <v>56251221</v>
      </c>
      <c r="B281" t="s">
        <v>1026</v>
      </c>
      <c r="C281" t="s">
        <v>1027</v>
      </c>
      <c r="D281" t="s">
        <v>51</v>
      </c>
      <c r="E281" t="s">
        <v>3</v>
      </c>
      <c r="F281" t="s">
        <v>1028</v>
      </c>
      <c r="G281" s="2">
        <v>1000</v>
      </c>
      <c r="H281" t="s">
        <v>669</v>
      </c>
      <c r="I281" t="s">
        <v>6</v>
      </c>
      <c r="J281" s="3">
        <v>604</v>
      </c>
      <c r="K281" t="s">
        <v>22</v>
      </c>
      <c r="L281" t="s">
        <v>1029</v>
      </c>
      <c r="M281" s="4">
        <v>45246</v>
      </c>
    </row>
    <row r="282" spans="1:13" x14ac:dyDescent="0.25">
      <c r="A282">
        <v>56251222</v>
      </c>
      <c r="B282" t="s">
        <v>1030</v>
      </c>
      <c r="C282" t="s">
        <v>1031</v>
      </c>
      <c r="D282" t="s">
        <v>51</v>
      </c>
      <c r="E282" t="s">
        <v>3</v>
      </c>
      <c r="F282" t="s">
        <v>1032</v>
      </c>
      <c r="G282" s="2">
        <v>1</v>
      </c>
      <c r="H282" t="s">
        <v>5</v>
      </c>
      <c r="I282" t="s">
        <v>6</v>
      </c>
      <c r="J282" s="3">
        <v>1172.3800000000001</v>
      </c>
      <c r="K282" t="s">
        <v>22</v>
      </c>
      <c r="L282" t="s">
        <v>1033</v>
      </c>
      <c r="M282" s="4">
        <v>45246</v>
      </c>
    </row>
    <row r="283" spans="1:13" x14ac:dyDescent="0.25">
      <c r="A283">
        <v>56251224</v>
      </c>
      <c r="B283" t="s">
        <v>1034</v>
      </c>
      <c r="C283" t="s">
        <v>1035</v>
      </c>
      <c r="D283" t="s">
        <v>2</v>
      </c>
      <c r="E283" t="s">
        <v>3</v>
      </c>
      <c r="F283" t="s">
        <v>1036</v>
      </c>
      <c r="G283" s="2">
        <v>1194</v>
      </c>
      <c r="H283" t="s">
        <v>32</v>
      </c>
      <c r="I283" t="s">
        <v>25</v>
      </c>
      <c r="J283" s="3">
        <v>1731.3</v>
      </c>
      <c r="K283" t="s">
        <v>22</v>
      </c>
      <c r="L283" t="s">
        <v>1037</v>
      </c>
      <c r="M283" s="4">
        <v>45245</v>
      </c>
    </row>
    <row r="284" spans="1:13" x14ac:dyDescent="0.25">
      <c r="A284">
        <v>56251225</v>
      </c>
      <c r="B284" t="s">
        <v>1038</v>
      </c>
      <c r="C284" t="s">
        <v>91</v>
      </c>
      <c r="D284" t="s">
        <v>2</v>
      </c>
      <c r="E284" t="s">
        <v>3</v>
      </c>
      <c r="F284" t="s">
        <v>1039</v>
      </c>
      <c r="G284" s="2">
        <v>500</v>
      </c>
      <c r="H284" t="s">
        <v>32</v>
      </c>
      <c r="I284" t="s">
        <v>25</v>
      </c>
      <c r="J284" s="3">
        <v>2250</v>
      </c>
      <c r="K284" t="s">
        <v>22</v>
      </c>
      <c r="L284" t="s">
        <v>1040</v>
      </c>
      <c r="M284" s="4">
        <v>45246</v>
      </c>
    </row>
    <row r="285" spans="1:13" x14ac:dyDescent="0.25">
      <c r="A285">
        <v>56251226</v>
      </c>
      <c r="B285" t="s">
        <v>1041</v>
      </c>
      <c r="C285" t="s">
        <v>257</v>
      </c>
      <c r="D285" t="s">
        <v>215</v>
      </c>
      <c r="E285" t="s">
        <v>3</v>
      </c>
      <c r="F285" t="s">
        <v>1042</v>
      </c>
      <c r="G285" s="2">
        <v>1</v>
      </c>
      <c r="H285" t="s">
        <v>32</v>
      </c>
      <c r="I285" t="s">
        <v>25</v>
      </c>
      <c r="J285" s="3">
        <v>485</v>
      </c>
      <c r="K285" t="s">
        <v>22</v>
      </c>
      <c r="L285" t="s">
        <v>1043</v>
      </c>
      <c r="M285" s="4">
        <v>45246</v>
      </c>
    </row>
    <row r="286" spans="1:13" x14ac:dyDescent="0.25">
      <c r="A286">
        <v>56251227</v>
      </c>
      <c r="B286" t="s">
        <v>1044</v>
      </c>
      <c r="C286" t="s">
        <v>17</v>
      </c>
      <c r="D286" t="s">
        <v>2</v>
      </c>
      <c r="E286" t="s">
        <v>3</v>
      </c>
      <c r="F286" t="s">
        <v>1045</v>
      </c>
      <c r="G286" s="2">
        <v>2000</v>
      </c>
      <c r="H286" t="s">
        <v>32</v>
      </c>
      <c r="I286" t="s">
        <v>25</v>
      </c>
      <c r="J286" s="3">
        <v>880</v>
      </c>
      <c r="K286" t="s">
        <v>22</v>
      </c>
      <c r="L286" t="s">
        <v>1046</v>
      </c>
      <c r="M286" s="4">
        <v>45245</v>
      </c>
    </row>
    <row r="287" spans="1:13" x14ac:dyDescent="0.25">
      <c r="A287">
        <v>56251228</v>
      </c>
      <c r="B287" t="s">
        <v>1047</v>
      </c>
      <c r="C287" t="s">
        <v>1048</v>
      </c>
      <c r="D287" t="s">
        <v>215</v>
      </c>
      <c r="E287" t="s">
        <v>3</v>
      </c>
      <c r="F287" t="s">
        <v>1049</v>
      </c>
      <c r="G287" s="2">
        <v>1</v>
      </c>
      <c r="H287" t="s">
        <v>32</v>
      </c>
      <c r="I287" t="s">
        <v>25</v>
      </c>
      <c r="J287" s="3">
        <v>4000</v>
      </c>
      <c r="K287" t="s">
        <v>22</v>
      </c>
      <c r="L287" t="s">
        <v>1050</v>
      </c>
      <c r="M287" s="4">
        <v>45246</v>
      </c>
    </row>
    <row r="288" spans="1:13" x14ac:dyDescent="0.25">
      <c r="A288">
        <v>56251229</v>
      </c>
      <c r="B288" t="s">
        <v>1051</v>
      </c>
      <c r="C288" t="s">
        <v>257</v>
      </c>
      <c r="D288" t="s">
        <v>215</v>
      </c>
      <c r="E288" t="s">
        <v>3</v>
      </c>
      <c r="F288" t="s">
        <v>1052</v>
      </c>
      <c r="G288" s="2">
        <v>1</v>
      </c>
      <c r="H288" t="s">
        <v>32</v>
      </c>
      <c r="I288" t="s">
        <v>25</v>
      </c>
      <c r="J288" s="3">
        <v>1800</v>
      </c>
      <c r="K288" t="s">
        <v>22</v>
      </c>
      <c r="L288" t="s">
        <v>1053</v>
      </c>
      <c r="M288" s="4">
        <v>45245</v>
      </c>
    </row>
    <row r="289" spans="1:13" x14ac:dyDescent="0.25">
      <c r="A289">
        <v>56251261</v>
      </c>
      <c r="B289" t="s">
        <v>1054</v>
      </c>
      <c r="C289" t="s">
        <v>1055</v>
      </c>
      <c r="D289" t="s">
        <v>215</v>
      </c>
      <c r="E289" t="s">
        <v>3</v>
      </c>
      <c r="F289" t="s">
        <v>1056</v>
      </c>
      <c r="G289" s="2">
        <v>1</v>
      </c>
      <c r="H289" t="s">
        <v>32</v>
      </c>
      <c r="I289" t="s">
        <v>77</v>
      </c>
      <c r="J289" s="3">
        <v>79300</v>
      </c>
      <c r="K289" t="s">
        <v>22</v>
      </c>
      <c r="L289" t="s">
        <v>1057</v>
      </c>
      <c r="M289" s="4">
        <v>45257</v>
      </c>
    </row>
    <row r="290" spans="1:13" x14ac:dyDescent="0.25">
      <c r="A290">
        <v>56251262</v>
      </c>
      <c r="B290" t="s">
        <v>1058</v>
      </c>
      <c r="C290" t="s">
        <v>1059</v>
      </c>
      <c r="D290" t="s">
        <v>245</v>
      </c>
      <c r="E290" t="s">
        <v>3</v>
      </c>
      <c r="F290" t="s">
        <v>1060</v>
      </c>
      <c r="G290" s="2">
        <v>1</v>
      </c>
      <c r="H290" t="s">
        <v>32</v>
      </c>
      <c r="I290" t="s">
        <v>77</v>
      </c>
      <c r="J290" s="3">
        <v>0</v>
      </c>
      <c r="K290" t="s">
        <v>22</v>
      </c>
      <c r="L290" t="s">
        <v>22</v>
      </c>
      <c r="M290" s="4"/>
    </row>
    <row r="291" spans="1:13" x14ac:dyDescent="0.25">
      <c r="A291">
        <v>56251263</v>
      </c>
      <c r="B291" t="s">
        <v>1061</v>
      </c>
      <c r="C291" t="s">
        <v>1062</v>
      </c>
      <c r="D291" t="s">
        <v>37</v>
      </c>
      <c r="E291" t="s">
        <v>3</v>
      </c>
      <c r="F291" t="s">
        <v>1063</v>
      </c>
      <c r="G291" s="2">
        <v>1</v>
      </c>
      <c r="H291" t="s">
        <v>32</v>
      </c>
      <c r="I291" t="s">
        <v>77</v>
      </c>
      <c r="J291" s="3">
        <v>13962</v>
      </c>
      <c r="K291" t="s">
        <v>22</v>
      </c>
      <c r="L291" t="s">
        <v>1064</v>
      </c>
      <c r="M291" s="4">
        <v>45258</v>
      </c>
    </row>
    <row r="292" spans="1:13" x14ac:dyDescent="0.25">
      <c r="A292">
        <v>56251777</v>
      </c>
      <c r="B292" t="s">
        <v>1065</v>
      </c>
      <c r="C292" t="s">
        <v>1066</v>
      </c>
      <c r="D292" t="s">
        <v>56</v>
      </c>
      <c r="E292" t="s">
        <v>3</v>
      </c>
      <c r="F292" t="s">
        <v>1067</v>
      </c>
      <c r="G292" s="2">
        <v>1</v>
      </c>
      <c r="H292" t="s">
        <v>32</v>
      </c>
      <c r="I292" t="s">
        <v>117</v>
      </c>
      <c r="J292" s="3">
        <v>1280</v>
      </c>
      <c r="K292" t="s">
        <v>22</v>
      </c>
      <c r="L292" t="s">
        <v>1068</v>
      </c>
      <c r="M292" s="4">
        <v>45247</v>
      </c>
    </row>
    <row r="293" spans="1:13" x14ac:dyDescent="0.25">
      <c r="A293">
        <v>56251780</v>
      </c>
      <c r="B293" t="s">
        <v>1069</v>
      </c>
      <c r="C293" t="s">
        <v>1070</v>
      </c>
      <c r="D293" t="s">
        <v>526</v>
      </c>
      <c r="E293" t="s">
        <v>3</v>
      </c>
      <c r="F293" t="s">
        <v>1071</v>
      </c>
      <c r="G293" s="2">
        <v>50</v>
      </c>
      <c r="H293" t="s">
        <v>32</v>
      </c>
      <c r="I293" t="s">
        <v>6</v>
      </c>
      <c r="J293" s="3">
        <v>800</v>
      </c>
      <c r="K293" t="s">
        <v>22</v>
      </c>
      <c r="L293" t="s">
        <v>1072</v>
      </c>
      <c r="M293" s="4">
        <v>45246</v>
      </c>
    </row>
    <row r="294" spans="1:13" x14ac:dyDescent="0.25">
      <c r="A294">
        <v>56252819</v>
      </c>
      <c r="B294" t="s">
        <v>1073</v>
      </c>
      <c r="C294" t="s">
        <v>1074</v>
      </c>
      <c r="D294" t="s">
        <v>30</v>
      </c>
      <c r="E294" t="s">
        <v>3</v>
      </c>
      <c r="F294" t="s">
        <v>1075</v>
      </c>
      <c r="G294" s="2">
        <v>483.76</v>
      </c>
      <c r="H294" t="s">
        <v>1076</v>
      </c>
      <c r="I294" t="s">
        <v>6</v>
      </c>
      <c r="J294" s="3">
        <v>9191.34</v>
      </c>
      <c r="K294" t="s">
        <v>22</v>
      </c>
      <c r="L294" t="s">
        <v>22</v>
      </c>
      <c r="M294" s="4"/>
    </row>
    <row r="295" spans="1:13" x14ac:dyDescent="0.25">
      <c r="A295">
        <v>56252862</v>
      </c>
      <c r="B295" t="s">
        <v>1077</v>
      </c>
      <c r="C295" t="s">
        <v>65</v>
      </c>
      <c r="D295" t="s">
        <v>342</v>
      </c>
      <c r="E295" t="s">
        <v>3</v>
      </c>
      <c r="F295" t="s">
        <v>1078</v>
      </c>
      <c r="G295" s="2">
        <v>1</v>
      </c>
      <c r="H295" t="s">
        <v>5</v>
      </c>
      <c r="I295" t="s">
        <v>6</v>
      </c>
      <c r="J295" s="3">
        <v>1500</v>
      </c>
      <c r="K295" t="s">
        <v>1079</v>
      </c>
      <c r="L295" t="s">
        <v>1080</v>
      </c>
      <c r="M295" s="4">
        <v>45245</v>
      </c>
    </row>
    <row r="296" spans="1:13" x14ac:dyDescent="0.25">
      <c r="A296">
        <v>56252863</v>
      </c>
      <c r="B296" t="s">
        <v>1081</v>
      </c>
      <c r="C296" t="s">
        <v>22</v>
      </c>
      <c r="D296" t="s">
        <v>342</v>
      </c>
      <c r="E296" t="s">
        <v>3</v>
      </c>
      <c r="F296" t="s">
        <v>1082</v>
      </c>
      <c r="G296" s="2">
        <v>1</v>
      </c>
      <c r="H296" t="s">
        <v>5</v>
      </c>
      <c r="I296" t="s">
        <v>25</v>
      </c>
      <c r="J296" s="3">
        <v>2000</v>
      </c>
      <c r="K296" t="s">
        <v>1083</v>
      </c>
      <c r="L296" t="s">
        <v>1084</v>
      </c>
      <c r="M296" s="4">
        <v>45246</v>
      </c>
    </row>
    <row r="297" spans="1:13" x14ac:dyDescent="0.25">
      <c r="A297">
        <v>56252951</v>
      </c>
      <c r="B297" t="s">
        <v>1085</v>
      </c>
      <c r="C297" t="s">
        <v>693</v>
      </c>
      <c r="D297" t="s">
        <v>30</v>
      </c>
      <c r="E297" t="s">
        <v>3</v>
      </c>
      <c r="F297" t="s">
        <v>1086</v>
      </c>
      <c r="G297" s="2">
        <v>1</v>
      </c>
      <c r="H297" t="s">
        <v>32</v>
      </c>
      <c r="I297" t="s">
        <v>33</v>
      </c>
      <c r="J297" s="3">
        <v>9151</v>
      </c>
      <c r="K297" t="s">
        <v>22</v>
      </c>
      <c r="L297" t="s">
        <v>1087</v>
      </c>
      <c r="M297" s="4">
        <v>45247</v>
      </c>
    </row>
    <row r="298" spans="1:13" x14ac:dyDescent="0.25">
      <c r="A298">
        <v>56253003</v>
      </c>
      <c r="B298" t="s">
        <v>1088</v>
      </c>
      <c r="C298" t="s">
        <v>65</v>
      </c>
      <c r="D298" t="s">
        <v>342</v>
      </c>
      <c r="E298" t="s">
        <v>3</v>
      </c>
      <c r="F298" t="s">
        <v>1089</v>
      </c>
      <c r="G298" s="2">
        <v>1</v>
      </c>
      <c r="H298" t="s">
        <v>5</v>
      </c>
      <c r="I298" t="s">
        <v>6</v>
      </c>
      <c r="J298" s="3">
        <v>500</v>
      </c>
      <c r="K298" t="s">
        <v>1090</v>
      </c>
      <c r="L298" t="s">
        <v>1091</v>
      </c>
      <c r="M298" s="4">
        <v>45245</v>
      </c>
    </row>
    <row r="299" spans="1:13" x14ac:dyDescent="0.25">
      <c r="A299">
        <v>56253004</v>
      </c>
      <c r="B299" t="s">
        <v>1092</v>
      </c>
      <c r="C299" t="s">
        <v>65</v>
      </c>
      <c r="D299" t="s">
        <v>342</v>
      </c>
      <c r="E299" t="s">
        <v>3</v>
      </c>
      <c r="F299" t="s">
        <v>1093</v>
      </c>
      <c r="G299" s="2">
        <v>1</v>
      </c>
      <c r="H299" t="s">
        <v>5</v>
      </c>
      <c r="I299" t="s">
        <v>25</v>
      </c>
      <c r="J299" s="3">
        <v>1000</v>
      </c>
      <c r="K299" t="s">
        <v>1094</v>
      </c>
      <c r="L299" t="s">
        <v>1095</v>
      </c>
      <c r="M299" s="4">
        <v>45245</v>
      </c>
    </row>
    <row r="300" spans="1:13" x14ac:dyDescent="0.25">
      <c r="A300">
        <v>56253005</v>
      </c>
      <c r="B300" t="s">
        <v>1096</v>
      </c>
      <c r="C300" t="s">
        <v>917</v>
      </c>
      <c r="D300" t="s">
        <v>1004</v>
      </c>
      <c r="E300" t="s">
        <v>3</v>
      </c>
      <c r="F300" t="s">
        <v>1097</v>
      </c>
      <c r="G300" s="2">
        <v>62</v>
      </c>
      <c r="H300" t="s">
        <v>5</v>
      </c>
      <c r="I300" t="s">
        <v>6</v>
      </c>
      <c r="J300" s="3">
        <v>479.26</v>
      </c>
      <c r="K300" t="s">
        <v>1098</v>
      </c>
      <c r="L300" t="s">
        <v>1099</v>
      </c>
      <c r="M300" s="4">
        <v>45251</v>
      </c>
    </row>
    <row r="301" spans="1:13" x14ac:dyDescent="0.25">
      <c r="A301">
        <v>56253018</v>
      </c>
      <c r="B301" t="s">
        <v>1100</v>
      </c>
      <c r="C301" t="s">
        <v>1101</v>
      </c>
      <c r="D301" t="s">
        <v>41</v>
      </c>
      <c r="E301" t="s">
        <v>3</v>
      </c>
      <c r="F301" t="s">
        <v>1102</v>
      </c>
      <c r="G301" s="2">
        <v>1</v>
      </c>
      <c r="H301" t="s">
        <v>535</v>
      </c>
      <c r="I301" t="s">
        <v>6</v>
      </c>
      <c r="J301" s="3">
        <v>2000</v>
      </c>
      <c r="K301" t="s">
        <v>22</v>
      </c>
      <c r="L301" t="s">
        <v>1103</v>
      </c>
      <c r="M301" s="4">
        <v>45246</v>
      </c>
    </row>
    <row r="302" spans="1:13" x14ac:dyDescent="0.25">
      <c r="A302">
        <v>56253019</v>
      </c>
      <c r="B302" t="s">
        <v>1104</v>
      </c>
      <c r="C302" t="s">
        <v>1105</v>
      </c>
      <c r="D302" t="s">
        <v>61</v>
      </c>
      <c r="E302" t="s">
        <v>3</v>
      </c>
      <c r="F302" t="s">
        <v>1106</v>
      </c>
      <c r="G302" s="2">
        <v>1</v>
      </c>
      <c r="H302" t="s">
        <v>32</v>
      </c>
      <c r="I302" t="s">
        <v>6</v>
      </c>
      <c r="J302" s="3">
        <v>1500</v>
      </c>
      <c r="K302" t="s">
        <v>22</v>
      </c>
      <c r="L302" t="s">
        <v>1107</v>
      </c>
      <c r="M302" s="4">
        <v>45246</v>
      </c>
    </row>
    <row r="303" spans="1:13" x14ac:dyDescent="0.25">
      <c r="A303">
        <v>56253020</v>
      </c>
      <c r="B303" t="s">
        <v>1108</v>
      </c>
      <c r="C303" t="s">
        <v>1070</v>
      </c>
      <c r="D303" t="s">
        <v>896</v>
      </c>
      <c r="E303" t="s">
        <v>3</v>
      </c>
      <c r="F303" t="s">
        <v>1109</v>
      </c>
      <c r="G303" s="2">
        <v>1</v>
      </c>
      <c r="H303" t="s">
        <v>32</v>
      </c>
      <c r="I303" t="s">
        <v>6</v>
      </c>
      <c r="J303" s="3">
        <v>17318</v>
      </c>
      <c r="K303" t="s">
        <v>22</v>
      </c>
      <c r="L303" t="s">
        <v>1110</v>
      </c>
      <c r="M303" s="4">
        <v>45246</v>
      </c>
    </row>
    <row r="304" spans="1:13" x14ac:dyDescent="0.25">
      <c r="A304">
        <v>56254967</v>
      </c>
      <c r="B304" t="s">
        <v>1111</v>
      </c>
      <c r="C304" t="s">
        <v>700</v>
      </c>
      <c r="D304" t="s">
        <v>51</v>
      </c>
      <c r="E304" t="s">
        <v>3</v>
      </c>
      <c r="F304" t="s">
        <v>1112</v>
      </c>
      <c r="G304" s="2">
        <v>1</v>
      </c>
      <c r="H304" t="s">
        <v>5</v>
      </c>
      <c r="I304" t="s">
        <v>6</v>
      </c>
      <c r="J304" s="3">
        <v>4333</v>
      </c>
      <c r="K304" t="s">
        <v>22</v>
      </c>
      <c r="L304" t="s">
        <v>1113</v>
      </c>
      <c r="M304" s="4">
        <v>45251</v>
      </c>
    </row>
    <row r="305" spans="1:13" x14ac:dyDescent="0.25">
      <c r="A305">
        <v>56254968</v>
      </c>
      <c r="B305" t="s">
        <v>1114</v>
      </c>
      <c r="C305" t="s">
        <v>312</v>
      </c>
      <c r="D305" t="s">
        <v>210</v>
      </c>
      <c r="E305" t="s">
        <v>3</v>
      </c>
      <c r="F305" t="s">
        <v>1115</v>
      </c>
      <c r="G305" s="2">
        <v>1146</v>
      </c>
      <c r="H305" t="s">
        <v>13</v>
      </c>
      <c r="I305" t="s">
        <v>6</v>
      </c>
      <c r="J305" s="3">
        <v>90.53</v>
      </c>
      <c r="K305" t="s">
        <v>1116</v>
      </c>
      <c r="L305" t="s">
        <v>1117</v>
      </c>
      <c r="M305" s="4">
        <v>45247</v>
      </c>
    </row>
    <row r="306" spans="1:13" x14ac:dyDescent="0.25">
      <c r="A306">
        <v>56254969</v>
      </c>
      <c r="B306" t="s">
        <v>1118</v>
      </c>
      <c r="C306" t="s">
        <v>1119</v>
      </c>
      <c r="D306" t="s">
        <v>96</v>
      </c>
      <c r="E306" t="s">
        <v>3</v>
      </c>
      <c r="F306" t="s">
        <v>1120</v>
      </c>
      <c r="G306" s="2">
        <v>120</v>
      </c>
      <c r="H306" t="s">
        <v>13</v>
      </c>
      <c r="I306" t="s">
        <v>6</v>
      </c>
      <c r="J306" s="3">
        <v>1284.47</v>
      </c>
      <c r="K306" t="s">
        <v>22</v>
      </c>
      <c r="L306" t="s">
        <v>1121</v>
      </c>
      <c r="M306" s="4">
        <v>45247</v>
      </c>
    </row>
    <row r="307" spans="1:13" x14ac:dyDescent="0.25">
      <c r="A307">
        <v>56254970</v>
      </c>
      <c r="B307" t="s">
        <v>1122</v>
      </c>
      <c r="C307" t="s">
        <v>1123</v>
      </c>
      <c r="D307" t="s">
        <v>96</v>
      </c>
      <c r="E307" t="s">
        <v>3</v>
      </c>
      <c r="F307" t="s">
        <v>1124</v>
      </c>
      <c r="G307" s="2">
        <v>1200</v>
      </c>
      <c r="H307" t="s">
        <v>1125</v>
      </c>
      <c r="I307" t="s">
        <v>6</v>
      </c>
      <c r="J307" s="3">
        <v>7200</v>
      </c>
      <c r="K307" t="s">
        <v>22</v>
      </c>
      <c r="L307" t="s">
        <v>1126</v>
      </c>
      <c r="M307" s="4">
        <v>45251</v>
      </c>
    </row>
    <row r="308" spans="1:13" x14ac:dyDescent="0.25">
      <c r="A308">
        <v>56254971</v>
      </c>
      <c r="B308" t="s">
        <v>1127</v>
      </c>
      <c r="C308" t="s">
        <v>374</v>
      </c>
      <c r="D308" t="s">
        <v>51</v>
      </c>
      <c r="E308" t="s">
        <v>3</v>
      </c>
      <c r="F308" t="s">
        <v>1128</v>
      </c>
      <c r="G308" s="2">
        <v>1000</v>
      </c>
      <c r="H308" t="s">
        <v>5</v>
      </c>
      <c r="I308" t="s">
        <v>6</v>
      </c>
      <c r="J308" s="3">
        <v>3480.1</v>
      </c>
      <c r="K308" t="s">
        <v>22</v>
      </c>
      <c r="L308" t="s">
        <v>1129</v>
      </c>
      <c r="M308" s="4">
        <v>45251</v>
      </c>
    </row>
    <row r="309" spans="1:13" x14ac:dyDescent="0.25">
      <c r="A309">
        <v>56254972</v>
      </c>
      <c r="B309" t="s">
        <v>1130</v>
      </c>
      <c r="C309" t="s">
        <v>374</v>
      </c>
      <c r="D309" t="s">
        <v>51</v>
      </c>
      <c r="E309" t="s">
        <v>3</v>
      </c>
      <c r="F309" t="s">
        <v>1131</v>
      </c>
      <c r="G309" s="2">
        <v>1000</v>
      </c>
      <c r="H309" t="s">
        <v>5</v>
      </c>
      <c r="I309" t="s">
        <v>6</v>
      </c>
      <c r="J309" s="3">
        <v>3480.1</v>
      </c>
      <c r="K309" t="s">
        <v>22</v>
      </c>
      <c r="L309" t="s">
        <v>1132</v>
      </c>
      <c r="M309" s="4">
        <v>45251</v>
      </c>
    </row>
    <row r="310" spans="1:13" x14ac:dyDescent="0.25">
      <c r="A310">
        <v>56254976</v>
      </c>
      <c r="B310" t="s">
        <v>1133</v>
      </c>
      <c r="C310" t="s">
        <v>65</v>
      </c>
      <c r="D310" t="s">
        <v>61</v>
      </c>
      <c r="E310" t="s">
        <v>3</v>
      </c>
      <c r="F310" t="s">
        <v>1134</v>
      </c>
      <c r="G310" s="2">
        <v>1</v>
      </c>
      <c r="H310" t="s">
        <v>32</v>
      </c>
      <c r="I310" t="s">
        <v>6</v>
      </c>
      <c r="J310" s="3">
        <v>1500</v>
      </c>
      <c r="K310" t="s">
        <v>22</v>
      </c>
      <c r="L310" t="s">
        <v>1135</v>
      </c>
      <c r="M310" s="4">
        <v>45247</v>
      </c>
    </row>
    <row r="311" spans="1:13" x14ac:dyDescent="0.25">
      <c r="A311">
        <v>56254977</v>
      </c>
      <c r="B311" t="s">
        <v>1136</v>
      </c>
      <c r="C311" t="s">
        <v>1137</v>
      </c>
      <c r="D311" t="s">
        <v>96</v>
      </c>
      <c r="E311" t="s">
        <v>3</v>
      </c>
      <c r="F311" t="s">
        <v>1138</v>
      </c>
      <c r="G311" s="2">
        <v>1</v>
      </c>
      <c r="H311" t="s">
        <v>32</v>
      </c>
      <c r="I311" t="s">
        <v>6</v>
      </c>
      <c r="J311" s="3">
        <v>850</v>
      </c>
      <c r="K311" t="s">
        <v>22</v>
      </c>
      <c r="L311" t="s">
        <v>1139</v>
      </c>
      <c r="M311" s="4">
        <v>45250</v>
      </c>
    </row>
    <row r="312" spans="1:13" x14ac:dyDescent="0.25">
      <c r="A312">
        <v>56255066</v>
      </c>
      <c r="B312" t="s">
        <v>1140</v>
      </c>
      <c r="C312" t="s">
        <v>91</v>
      </c>
      <c r="D312" t="s">
        <v>2</v>
      </c>
      <c r="E312" t="s">
        <v>3</v>
      </c>
      <c r="F312" t="s">
        <v>1141</v>
      </c>
      <c r="G312" s="2">
        <v>1</v>
      </c>
      <c r="H312" t="s">
        <v>32</v>
      </c>
      <c r="I312" t="s">
        <v>25</v>
      </c>
      <c r="J312" s="3">
        <v>6500</v>
      </c>
      <c r="K312" t="s">
        <v>22</v>
      </c>
      <c r="L312" t="s">
        <v>1142</v>
      </c>
      <c r="M312" s="4">
        <v>45247</v>
      </c>
    </row>
    <row r="313" spans="1:13" x14ac:dyDescent="0.25">
      <c r="A313">
        <v>56255067</v>
      </c>
      <c r="B313" t="s">
        <v>1143</v>
      </c>
      <c r="C313" t="s">
        <v>83</v>
      </c>
      <c r="D313" t="s">
        <v>51</v>
      </c>
      <c r="E313" t="s">
        <v>3</v>
      </c>
      <c r="F313" t="s">
        <v>1144</v>
      </c>
      <c r="G313" s="2">
        <v>500</v>
      </c>
      <c r="H313" t="s">
        <v>5</v>
      </c>
      <c r="I313" t="s">
        <v>25</v>
      </c>
      <c r="J313" s="3">
        <v>1000</v>
      </c>
      <c r="K313" t="s">
        <v>22</v>
      </c>
      <c r="L313" t="s">
        <v>1145</v>
      </c>
      <c r="M313" s="4">
        <v>45247</v>
      </c>
    </row>
    <row r="314" spans="1:13" x14ac:dyDescent="0.25">
      <c r="A314">
        <v>56255068</v>
      </c>
      <c r="B314" t="s">
        <v>1146</v>
      </c>
      <c r="C314" t="s">
        <v>1147</v>
      </c>
      <c r="D314" t="s">
        <v>46</v>
      </c>
      <c r="E314" t="s">
        <v>3</v>
      </c>
      <c r="F314" t="s">
        <v>1148</v>
      </c>
      <c r="G314" s="2">
        <v>1</v>
      </c>
      <c r="H314" t="s">
        <v>5</v>
      </c>
      <c r="I314" t="s">
        <v>25</v>
      </c>
      <c r="J314" s="3">
        <v>0</v>
      </c>
      <c r="K314" t="s">
        <v>1149</v>
      </c>
      <c r="L314" t="s">
        <v>22</v>
      </c>
      <c r="M314" s="4"/>
    </row>
    <row r="315" spans="1:13" x14ac:dyDescent="0.25">
      <c r="A315">
        <v>56255069</v>
      </c>
      <c r="B315" t="s">
        <v>1150</v>
      </c>
      <c r="C315" t="s">
        <v>45</v>
      </c>
      <c r="D315" t="s">
        <v>522</v>
      </c>
      <c r="E315" t="s">
        <v>3</v>
      </c>
      <c r="F315" t="s">
        <v>1151</v>
      </c>
      <c r="G315" s="2">
        <v>1</v>
      </c>
      <c r="H315" t="s">
        <v>5</v>
      </c>
      <c r="I315" t="s">
        <v>25</v>
      </c>
      <c r="J315" s="3">
        <v>750</v>
      </c>
      <c r="K315" t="s">
        <v>1152</v>
      </c>
      <c r="L315" t="s">
        <v>1153</v>
      </c>
      <c r="M315" s="4">
        <v>45247</v>
      </c>
    </row>
    <row r="316" spans="1:13" x14ac:dyDescent="0.25">
      <c r="A316">
        <v>56255070</v>
      </c>
      <c r="B316" t="s">
        <v>1154</v>
      </c>
      <c r="C316" t="s">
        <v>22</v>
      </c>
      <c r="D316" t="s">
        <v>51</v>
      </c>
      <c r="E316" t="s">
        <v>3</v>
      </c>
      <c r="F316" t="s">
        <v>1155</v>
      </c>
      <c r="G316" s="2">
        <v>1</v>
      </c>
      <c r="H316" t="s">
        <v>32</v>
      </c>
      <c r="I316" t="s">
        <v>25</v>
      </c>
      <c r="J316" s="3">
        <v>0</v>
      </c>
      <c r="K316" t="s">
        <v>22</v>
      </c>
      <c r="L316" t="s">
        <v>22</v>
      </c>
      <c r="M316" s="4"/>
    </row>
    <row r="317" spans="1:13" x14ac:dyDescent="0.25">
      <c r="A317">
        <v>56255071</v>
      </c>
      <c r="B317" t="s">
        <v>1156</v>
      </c>
      <c r="C317" t="s">
        <v>1157</v>
      </c>
      <c r="D317" t="s">
        <v>1158</v>
      </c>
      <c r="E317" t="s">
        <v>3</v>
      </c>
      <c r="F317" t="s">
        <v>1159</v>
      </c>
      <c r="G317" s="2">
        <v>1</v>
      </c>
      <c r="H317" t="s">
        <v>32</v>
      </c>
      <c r="I317" t="s">
        <v>6</v>
      </c>
      <c r="J317" s="3">
        <v>1250</v>
      </c>
      <c r="K317" t="s">
        <v>22</v>
      </c>
      <c r="L317" t="s">
        <v>1160</v>
      </c>
      <c r="M317" s="4">
        <v>45247</v>
      </c>
    </row>
    <row r="318" spans="1:13" x14ac:dyDescent="0.25">
      <c r="A318">
        <v>56255372</v>
      </c>
      <c r="B318" t="s">
        <v>1161</v>
      </c>
      <c r="C318" t="s">
        <v>1162</v>
      </c>
      <c r="D318" t="s">
        <v>148</v>
      </c>
      <c r="E318" t="s">
        <v>3</v>
      </c>
      <c r="F318" t="s">
        <v>1163</v>
      </c>
      <c r="G318" s="2">
        <v>1</v>
      </c>
      <c r="H318" t="s">
        <v>32</v>
      </c>
      <c r="I318" t="s">
        <v>117</v>
      </c>
      <c r="J318" s="3">
        <v>6547.95</v>
      </c>
      <c r="K318" t="s">
        <v>22</v>
      </c>
      <c r="L318" t="s">
        <v>1164</v>
      </c>
      <c r="M318" s="4">
        <v>45246</v>
      </c>
    </row>
    <row r="319" spans="1:13" x14ac:dyDescent="0.25">
      <c r="A319">
        <v>56256523</v>
      </c>
      <c r="B319" t="s">
        <v>744</v>
      </c>
      <c r="C319" t="s">
        <v>22</v>
      </c>
      <c r="D319" t="s">
        <v>237</v>
      </c>
      <c r="E319" t="s">
        <v>3</v>
      </c>
      <c r="F319" t="s">
        <v>1165</v>
      </c>
      <c r="G319" s="2">
        <v>1</v>
      </c>
      <c r="H319" t="s">
        <v>5</v>
      </c>
      <c r="I319" t="s">
        <v>33</v>
      </c>
      <c r="J319" s="3">
        <v>0</v>
      </c>
      <c r="K319" t="s">
        <v>1166</v>
      </c>
      <c r="L319" t="s">
        <v>1167</v>
      </c>
      <c r="M319" s="4">
        <v>45264</v>
      </c>
    </row>
    <row r="320" spans="1:13" x14ac:dyDescent="0.25">
      <c r="A320">
        <v>56257932</v>
      </c>
      <c r="B320" t="s">
        <v>1168</v>
      </c>
      <c r="C320" t="s">
        <v>22</v>
      </c>
      <c r="D320" t="s">
        <v>896</v>
      </c>
      <c r="E320" t="s">
        <v>3</v>
      </c>
      <c r="F320" t="s">
        <v>1169</v>
      </c>
      <c r="G320" s="2">
        <v>7</v>
      </c>
      <c r="H320" t="s">
        <v>32</v>
      </c>
      <c r="I320" t="s">
        <v>25</v>
      </c>
      <c r="J320" s="3">
        <v>1050</v>
      </c>
      <c r="K320" t="s">
        <v>22</v>
      </c>
      <c r="L320" t="s">
        <v>1170</v>
      </c>
      <c r="M320" s="4">
        <v>45251</v>
      </c>
    </row>
    <row r="321" spans="1:13" x14ac:dyDescent="0.25">
      <c r="A321">
        <v>56257933</v>
      </c>
      <c r="B321" t="s">
        <v>1171</v>
      </c>
      <c r="C321" t="s">
        <v>347</v>
      </c>
      <c r="D321" t="s">
        <v>148</v>
      </c>
      <c r="E321" t="s">
        <v>3</v>
      </c>
      <c r="F321" t="s">
        <v>1172</v>
      </c>
      <c r="G321" s="2">
        <v>1</v>
      </c>
      <c r="H321" t="s">
        <v>32</v>
      </c>
      <c r="I321" t="s">
        <v>117</v>
      </c>
      <c r="J321" s="3">
        <v>5189</v>
      </c>
      <c r="K321" t="s">
        <v>22</v>
      </c>
      <c r="L321" t="s">
        <v>1173</v>
      </c>
      <c r="M321" s="4">
        <v>45251</v>
      </c>
    </row>
    <row r="322" spans="1:13" x14ac:dyDescent="0.25">
      <c r="A322">
        <v>56257934</v>
      </c>
      <c r="B322" t="s">
        <v>1174</v>
      </c>
      <c r="C322" t="s">
        <v>22</v>
      </c>
      <c r="D322" t="s">
        <v>253</v>
      </c>
      <c r="E322" t="s">
        <v>3</v>
      </c>
      <c r="F322" t="s">
        <v>1175</v>
      </c>
      <c r="G322" s="2">
        <v>1</v>
      </c>
      <c r="H322" t="s">
        <v>106</v>
      </c>
      <c r="I322" t="s">
        <v>33</v>
      </c>
      <c r="J322" s="3">
        <v>149800</v>
      </c>
      <c r="K322" t="s">
        <v>22</v>
      </c>
      <c r="L322" t="s">
        <v>1176</v>
      </c>
      <c r="M322" s="4">
        <v>45251</v>
      </c>
    </row>
    <row r="323" spans="1:13" x14ac:dyDescent="0.25">
      <c r="A323">
        <v>56257937</v>
      </c>
      <c r="B323" t="s">
        <v>1177</v>
      </c>
      <c r="C323" t="s">
        <v>1178</v>
      </c>
      <c r="D323" t="s">
        <v>148</v>
      </c>
      <c r="E323" t="s">
        <v>3</v>
      </c>
      <c r="F323" t="s">
        <v>1179</v>
      </c>
      <c r="G323" s="2">
        <v>1</v>
      </c>
      <c r="H323" t="s">
        <v>32</v>
      </c>
      <c r="I323" t="s">
        <v>117</v>
      </c>
      <c r="J323" s="3">
        <v>9370</v>
      </c>
      <c r="K323" t="s">
        <v>22</v>
      </c>
      <c r="L323" t="s">
        <v>1180</v>
      </c>
      <c r="M323" s="4">
        <v>45252</v>
      </c>
    </row>
    <row r="324" spans="1:13" x14ac:dyDescent="0.25">
      <c r="A324">
        <v>56257940</v>
      </c>
      <c r="B324" t="s">
        <v>1181</v>
      </c>
      <c r="C324" t="s">
        <v>22</v>
      </c>
      <c r="D324" t="s">
        <v>289</v>
      </c>
      <c r="E324" t="s">
        <v>3</v>
      </c>
      <c r="F324" t="s">
        <v>1182</v>
      </c>
      <c r="G324" s="2">
        <v>40000</v>
      </c>
      <c r="H324" t="s">
        <v>32</v>
      </c>
      <c r="I324" t="s">
        <v>33</v>
      </c>
      <c r="J324" s="3">
        <v>43200</v>
      </c>
      <c r="K324" t="s">
        <v>22</v>
      </c>
      <c r="L324" t="s">
        <v>1183</v>
      </c>
      <c r="M324" s="4">
        <v>45251</v>
      </c>
    </row>
    <row r="325" spans="1:13" x14ac:dyDescent="0.25">
      <c r="A325">
        <v>56291047</v>
      </c>
      <c r="B325" t="s">
        <v>1184</v>
      </c>
      <c r="C325" t="s">
        <v>163</v>
      </c>
      <c r="D325" t="s">
        <v>30</v>
      </c>
      <c r="E325" t="s">
        <v>3</v>
      </c>
      <c r="F325" t="s">
        <v>1185</v>
      </c>
      <c r="G325" s="2">
        <v>1</v>
      </c>
      <c r="H325" t="s">
        <v>32</v>
      </c>
      <c r="I325" t="s">
        <v>117</v>
      </c>
      <c r="J325" s="3">
        <v>3612</v>
      </c>
      <c r="K325" t="s">
        <v>22</v>
      </c>
      <c r="L325" t="s">
        <v>1186</v>
      </c>
      <c r="M325" s="4">
        <v>45251</v>
      </c>
    </row>
    <row r="326" spans="1:13" x14ac:dyDescent="0.25">
      <c r="A326">
        <v>56291066</v>
      </c>
      <c r="B326" t="s">
        <v>1187</v>
      </c>
      <c r="C326" t="s">
        <v>205</v>
      </c>
      <c r="D326" t="s">
        <v>148</v>
      </c>
      <c r="E326" t="s">
        <v>3</v>
      </c>
      <c r="F326" t="s">
        <v>1188</v>
      </c>
      <c r="G326" s="2">
        <v>1</v>
      </c>
      <c r="H326" t="s">
        <v>32</v>
      </c>
      <c r="I326" t="s">
        <v>117</v>
      </c>
      <c r="J326" s="3">
        <v>2500</v>
      </c>
      <c r="K326" t="s">
        <v>22</v>
      </c>
      <c r="L326" t="s">
        <v>1189</v>
      </c>
      <c r="M326" s="4">
        <v>45251</v>
      </c>
    </row>
    <row r="327" spans="1:13" x14ac:dyDescent="0.25">
      <c r="A327">
        <v>56291136</v>
      </c>
      <c r="B327" t="s">
        <v>1190</v>
      </c>
      <c r="C327" t="s">
        <v>1191</v>
      </c>
      <c r="D327" t="s">
        <v>30</v>
      </c>
      <c r="E327" t="s">
        <v>3</v>
      </c>
      <c r="F327" t="s">
        <v>1192</v>
      </c>
      <c r="G327" s="2">
        <v>1</v>
      </c>
      <c r="H327" t="s">
        <v>32</v>
      </c>
      <c r="I327" t="s">
        <v>117</v>
      </c>
      <c r="J327" s="3">
        <v>2868</v>
      </c>
      <c r="K327" t="s">
        <v>22</v>
      </c>
      <c r="L327" t="s">
        <v>1193</v>
      </c>
      <c r="M327" s="4">
        <v>45251</v>
      </c>
    </row>
    <row r="328" spans="1:13" x14ac:dyDescent="0.25">
      <c r="A328">
        <v>56291145</v>
      </c>
      <c r="B328" t="s">
        <v>1194</v>
      </c>
      <c r="C328" t="s">
        <v>1195</v>
      </c>
      <c r="D328" t="s">
        <v>148</v>
      </c>
      <c r="E328" t="s">
        <v>3</v>
      </c>
      <c r="F328" t="s">
        <v>1196</v>
      </c>
      <c r="G328" s="2">
        <v>1</v>
      </c>
      <c r="H328" t="s">
        <v>32</v>
      </c>
      <c r="I328" t="s">
        <v>117</v>
      </c>
      <c r="J328" s="3">
        <v>21030.52</v>
      </c>
      <c r="K328" t="s">
        <v>22</v>
      </c>
      <c r="L328" t="s">
        <v>1197</v>
      </c>
      <c r="M328" s="4">
        <v>45252</v>
      </c>
    </row>
    <row r="329" spans="1:13" x14ac:dyDescent="0.25">
      <c r="A329">
        <v>56291147</v>
      </c>
      <c r="B329" t="s">
        <v>1198</v>
      </c>
      <c r="C329" t="s">
        <v>724</v>
      </c>
      <c r="D329" t="s">
        <v>96</v>
      </c>
      <c r="E329" t="s">
        <v>3</v>
      </c>
      <c r="F329" t="s">
        <v>725</v>
      </c>
      <c r="G329" s="2">
        <v>100</v>
      </c>
      <c r="H329" t="s">
        <v>32</v>
      </c>
      <c r="I329" t="s">
        <v>6</v>
      </c>
      <c r="J329" s="3">
        <v>2000</v>
      </c>
      <c r="K329" t="s">
        <v>22</v>
      </c>
      <c r="L329" t="s">
        <v>1199</v>
      </c>
      <c r="M329" s="4">
        <v>45252</v>
      </c>
    </row>
    <row r="330" spans="1:13" x14ac:dyDescent="0.25">
      <c r="A330">
        <v>56291148</v>
      </c>
      <c r="B330" t="s">
        <v>1200</v>
      </c>
      <c r="C330" t="s">
        <v>724</v>
      </c>
      <c r="D330" t="s">
        <v>96</v>
      </c>
      <c r="E330" t="s">
        <v>3</v>
      </c>
      <c r="F330" t="s">
        <v>725</v>
      </c>
      <c r="G330" s="2">
        <v>100</v>
      </c>
      <c r="H330" t="s">
        <v>32</v>
      </c>
      <c r="I330" t="s">
        <v>6</v>
      </c>
      <c r="J330" s="3">
        <v>2000</v>
      </c>
      <c r="K330" t="s">
        <v>22</v>
      </c>
      <c r="L330" t="s">
        <v>1201</v>
      </c>
      <c r="M330" s="4">
        <v>45252</v>
      </c>
    </row>
    <row r="331" spans="1:13" x14ac:dyDescent="0.25">
      <c r="A331">
        <v>56291149</v>
      </c>
      <c r="B331" t="s">
        <v>1202</v>
      </c>
      <c r="C331" t="s">
        <v>1203</v>
      </c>
      <c r="D331" t="s">
        <v>51</v>
      </c>
      <c r="E331" t="s">
        <v>3</v>
      </c>
      <c r="F331" t="s">
        <v>1204</v>
      </c>
      <c r="G331" s="2">
        <v>600</v>
      </c>
      <c r="H331" t="s">
        <v>32</v>
      </c>
      <c r="I331" t="s">
        <v>6</v>
      </c>
      <c r="J331" s="3">
        <v>571.99</v>
      </c>
      <c r="K331" t="s">
        <v>22</v>
      </c>
      <c r="L331" t="s">
        <v>1205</v>
      </c>
      <c r="M331" s="4">
        <v>45257</v>
      </c>
    </row>
    <row r="332" spans="1:13" x14ac:dyDescent="0.25">
      <c r="A332">
        <v>56291150</v>
      </c>
      <c r="B332" t="s">
        <v>1206</v>
      </c>
      <c r="C332" t="s">
        <v>1207</v>
      </c>
      <c r="D332" t="s">
        <v>51</v>
      </c>
      <c r="E332" t="s">
        <v>3</v>
      </c>
      <c r="F332" t="s">
        <v>1208</v>
      </c>
      <c r="G332" s="2">
        <v>2000</v>
      </c>
      <c r="H332" t="s">
        <v>5</v>
      </c>
      <c r="I332" t="s">
        <v>6</v>
      </c>
      <c r="J332" s="3">
        <v>2417.1999999999998</v>
      </c>
      <c r="K332" t="s">
        <v>22</v>
      </c>
      <c r="L332" t="s">
        <v>1209</v>
      </c>
      <c r="M332" s="4">
        <v>45252</v>
      </c>
    </row>
    <row r="333" spans="1:13" x14ac:dyDescent="0.25">
      <c r="A333">
        <v>56291151</v>
      </c>
      <c r="B333" t="s">
        <v>1210</v>
      </c>
      <c r="C333" t="s">
        <v>22</v>
      </c>
      <c r="D333" t="s">
        <v>1004</v>
      </c>
      <c r="E333" t="s">
        <v>3</v>
      </c>
      <c r="F333" t="s">
        <v>1005</v>
      </c>
      <c r="G333" s="2">
        <v>200</v>
      </c>
      <c r="H333" t="s">
        <v>5</v>
      </c>
      <c r="I333" t="s">
        <v>6</v>
      </c>
      <c r="J333" s="3">
        <v>500</v>
      </c>
      <c r="K333" t="s">
        <v>1006</v>
      </c>
      <c r="L333" t="s">
        <v>1211</v>
      </c>
      <c r="M333" s="4">
        <v>45252</v>
      </c>
    </row>
    <row r="334" spans="1:13" x14ac:dyDescent="0.25">
      <c r="A334">
        <v>56291158</v>
      </c>
      <c r="B334" t="s">
        <v>1212</v>
      </c>
      <c r="C334" t="s">
        <v>197</v>
      </c>
      <c r="D334" t="s">
        <v>96</v>
      </c>
      <c r="E334" t="s">
        <v>3</v>
      </c>
      <c r="F334" t="s">
        <v>815</v>
      </c>
      <c r="G334" s="2">
        <v>100</v>
      </c>
      <c r="H334" t="s">
        <v>32</v>
      </c>
      <c r="I334" t="s">
        <v>25</v>
      </c>
      <c r="J334" s="3">
        <v>832.2</v>
      </c>
      <c r="K334" t="s">
        <v>22</v>
      </c>
      <c r="L334" t="s">
        <v>1213</v>
      </c>
      <c r="M334" s="4">
        <v>45252</v>
      </c>
    </row>
    <row r="335" spans="1:13" x14ac:dyDescent="0.25">
      <c r="A335">
        <v>56291172</v>
      </c>
      <c r="B335" t="s">
        <v>1214</v>
      </c>
      <c r="C335" t="s">
        <v>1215</v>
      </c>
      <c r="D335" t="s">
        <v>30</v>
      </c>
      <c r="E335" t="s">
        <v>3</v>
      </c>
      <c r="F335" t="s">
        <v>1216</v>
      </c>
      <c r="G335" s="2">
        <v>1</v>
      </c>
      <c r="H335" t="s">
        <v>32</v>
      </c>
      <c r="I335" t="s">
        <v>117</v>
      </c>
      <c r="J335" s="3">
        <v>2709.1</v>
      </c>
      <c r="K335" t="s">
        <v>22</v>
      </c>
      <c r="L335" t="s">
        <v>1217</v>
      </c>
      <c r="M335" s="4">
        <v>45252</v>
      </c>
    </row>
    <row r="336" spans="1:13" x14ac:dyDescent="0.25">
      <c r="A336">
        <v>56291174</v>
      </c>
      <c r="B336" t="s">
        <v>1218</v>
      </c>
      <c r="C336" t="s">
        <v>470</v>
      </c>
      <c r="D336" t="s">
        <v>30</v>
      </c>
      <c r="E336" t="s">
        <v>3</v>
      </c>
      <c r="F336" t="s">
        <v>1219</v>
      </c>
      <c r="G336" s="2">
        <v>1</v>
      </c>
      <c r="H336" t="s">
        <v>32</v>
      </c>
      <c r="I336" t="s">
        <v>117</v>
      </c>
      <c r="J336" s="3">
        <v>5036</v>
      </c>
      <c r="K336" t="s">
        <v>22</v>
      </c>
      <c r="L336" t="s">
        <v>1220</v>
      </c>
      <c r="M336" s="4">
        <v>45252</v>
      </c>
    </row>
    <row r="337" spans="1:13" x14ac:dyDescent="0.25">
      <c r="A337">
        <v>56291177</v>
      </c>
      <c r="B337" t="s">
        <v>1221</v>
      </c>
      <c r="C337" t="s">
        <v>1222</v>
      </c>
      <c r="D337" t="s">
        <v>148</v>
      </c>
      <c r="E337" t="s">
        <v>3</v>
      </c>
      <c r="F337" t="s">
        <v>1223</v>
      </c>
      <c r="G337" s="2">
        <v>1</v>
      </c>
      <c r="H337" t="s">
        <v>32</v>
      </c>
      <c r="I337" t="s">
        <v>117</v>
      </c>
      <c r="J337" s="3">
        <v>4000</v>
      </c>
      <c r="K337" t="s">
        <v>22</v>
      </c>
      <c r="L337" t="s">
        <v>1224</v>
      </c>
      <c r="M337" s="4">
        <v>44699</v>
      </c>
    </row>
    <row r="338" spans="1:13" x14ac:dyDescent="0.25">
      <c r="A338">
        <v>56291179</v>
      </c>
      <c r="B338" t="s">
        <v>1225</v>
      </c>
      <c r="C338" t="s">
        <v>1226</v>
      </c>
      <c r="D338" t="s">
        <v>75</v>
      </c>
      <c r="E338" t="s">
        <v>3</v>
      </c>
      <c r="F338" t="s">
        <v>1227</v>
      </c>
      <c r="G338" s="2">
        <v>1</v>
      </c>
      <c r="H338" t="s">
        <v>32</v>
      </c>
      <c r="I338" t="s">
        <v>117</v>
      </c>
      <c r="J338" s="3">
        <v>10000</v>
      </c>
      <c r="K338" t="s">
        <v>22</v>
      </c>
      <c r="L338" t="s">
        <v>1228</v>
      </c>
      <c r="M338" s="4">
        <v>45258</v>
      </c>
    </row>
    <row r="339" spans="1:13" x14ac:dyDescent="0.25">
      <c r="A339">
        <v>56291181</v>
      </c>
      <c r="B339" t="s">
        <v>1229</v>
      </c>
      <c r="C339" t="s">
        <v>347</v>
      </c>
      <c r="D339" t="s">
        <v>148</v>
      </c>
      <c r="E339" t="s">
        <v>3</v>
      </c>
      <c r="F339" t="s">
        <v>1230</v>
      </c>
      <c r="G339" s="2">
        <v>1</v>
      </c>
      <c r="H339" t="s">
        <v>32</v>
      </c>
      <c r="I339" t="s">
        <v>117</v>
      </c>
      <c r="J339" s="3">
        <v>49999.98</v>
      </c>
      <c r="K339" t="s">
        <v>22</v>
      </c>
      <c r="L339" t="s">
        <v>1231</v>
      </c>
      <c r="M339" s="4">
        <v>45254</v>
      </c>
    </row>
    <row r="340" spans="1:13" x14ac:dyDescent="0.25">
      <c r="A340">
        <v>56291182</v>
      </c>
      <c r="B340" t="s">
        <v>1232</v>
      </c>
      <c r="C340" t="s">
        <v>1233</v>
      </c>
      <c r="D340" t="s">
        <v>148</v>
      </c>
      <c r="E340" t="s">
        <v>3</v>
      </c>
      <c r="F340" t="s">
        <v>1234</v>
      </c>
      <c r="G340" s="2">
        <v>50</v>
      </c>
      <c r="H340" t="s">
        <v>32</v>
      </c>
      <c r="I340" t="s">
        <v>117</v>
      </c>
      <c r="J340" s="3">
        <v>10000</v>
      </c>
      <c r="K340" t="s">
        <v>22</v>
      </c>
      <c r="L340" t="s">
        <v>1235</v>
      </c>
      <c r="M340" s="4">
        <v>45258</v>
      </c>
    </row>
    <row r="341" spans="1:13" x14ac:dyDescent="0.25">
      <c r="A341">
        <v>56291183</v>
      </c>
      <c r="B341" t="s">
        <v>1236</v>
      </c>
      <c r="C341" t="s">
        <v>147</v>
      </c>
      <c r="D341" t="s">
        <v>148</v>
      </c>
      <c r="E341" t="s">
        <v>3</v>
      </c>
      <c r="F341" t="s">
        <v>1237</v>
      </c>
      <c r="G341" s="2">
        <v>2</v>
      </c>
      <c r="H341" t="s">
        <v>32</v>
      </c>
      <c r="I341" t="s">
        <v>117</v>
      </c>
      <c r="J341" s="3">
        <v>1376.82</v>
      </c>
      <c r="K341" t="s">
        <v>22</v>
      </c>
      <c r="L341" t="s">
        <v>1238</v>
      </c>
      <c r="M341" s="4">
        <v>45237</v>
      </c>
    </row>
    <row r="342" spans="1:13" x14ac:dyDescent="0.25">
      <c r="A342">
        <v>56291184</v>
      </c>
      <c r="B342" t="s">
        <v>1239</v>
      </c>
      <c r="C342" t="s">
        <v>1240</v>
      </c>
      <c r="D342" t="s">
        <v>475</v>
      </c>
      <c r="E342" t="s">
        <v>3</v>
      </c>
      <c r="F342" t="s">
        <v>1241</v>
      </c>
      <c r="G342" s="2">
        <v>1</v>
      </c>
      <c r="H342" t="s">
        <v>32</v>
      </c>
      <c r="I342" t="s">
        <v>117</v>
      </c>
      <c r="J342" s="3">
        <v>5148.43</v>
      </c>
      <c r="K342" t="s">
        <v>22</v>
      </c>
      <c r="L342" t="s">
        <v>1242</v>
      </c>
      <c r="M342" s="4">
        <v>45259</v>
      </c>
    </row>
    <row r="343" spans="1:13" x14ac:dyDescent="0.25">
      <c r="A343">
        <v>56291186</v>
      </c>
      <c r="B343" t="s">
        <v>1243</v>
      </c>
      <c r="C343" t="s">
        <v>1244</v>
      </c>
      <c r="D343" t="s">
        <v>148</v>
      </c>
      <c r="E343" t="s">
        <v>3</v>
      </c>
      <c r="F343" t="s">
        <v>1245</v>
      </c>
      <c r="G343" s="2">
        <v>2181.25</v>
      </c>
      <c r="H343" t="s">
        <v>32</v>
      </c>
      <c r="I343" t="s">
        <v>117</v>
      </c>
      <c r="J343" s="3">
        <v>2181.25</v>
      </c>
      <c r="K343" t="s">
        <v>22</v>
      </c>
      <c r="L343" t="s">
        <v>1246</v>
      </c>
      <c r="M343" s="4">
        <v>45259</v>
      </c>
    </row>
    <row r="344" spans="1:13" x14ac:dyDescent="0.25">
      <c r="A344">
        <v>56291187</v>
      </c>
      <c r="B344" t="s">
        <v>1247</v>
      </c>
      <c r="C344" t="s">
        <v>1248</v>
      </c>
      <c r="D344" t="s">
        <v>148</v>
      </c>
      <c r="E344" t="s">
        <v>3</v>
      </c>
      <c r="F344" t="s">
        <v>1249</v>
      </c>
      <c r="G344" s="2">
        <v>15866</v>
      </c>
      <c r="H344" t="s">
        <v>32</v>
      </c>
      <c r="I344" t="s">
        <v>117</v>
      </c>
      <c r="J344" s="3">
        <v>15866</v>
      </c>
      <c r="K344" t="s">
        <v>22</v>
      </c>
      <c r="L344" t="s">
        <v>1250</v>
      </c>
      <c r="M344" s="4">
        <v>45259</v>
      </c>
    </row>
    <row r="345" spans="1:13" x14ac:dyDescent="0.25">
      <c r="A345">
        <v>56291190</v>
      </c>
      <c r="B345" t="s">
        <v>1251</v>
      </c>
      <c r="C345" t="s">
        <v>1252</v>
      </c>
      <c r="D345" t="s">
        <v>96</v>
      </c>
      <c r="E345" t="s">
        <v>3</v>
      </c>
      <c r="F345" t="s">
        <v>1253</v>
      </c>
      <c r="G345" s="2">
        <v>8</v>
      </c>
      <c r="H345" t="s">
        <v>32</v>
      </c>
      <c r="I345" t="s">
        <v>117</v>
      </c>
      <c r="J345" s="3">
        <v>2755.12</v>
      </c>
      <c r="K345" t="s">
        <v>22</v>
      </c>
      <c r="L345" t="s">
        <v>1254</v>
      </c>
      <c r="M345" s="4">
        <v>45251</v>
      </c>
    </row>
    <row r="346" spans="1:13" x14ac:dyDescent="0.25">
      <c r="A346">
        <v>56291191</v>
      </c>
      <c r="B346" t="s">
        <v>1255</v>
      </c>
      <c r="C346" t="s">
        <v>448</v>
      </c>
      <c r="D346" t="s">
        <v>210</v>
      </c>
      <c r="E346" t="s">
        <v>3</v>
      </c>
      <c r="F346" t="s">
        <v>1256</v>
      </c>
      <c r="G346" s="2">
        <v>6</v>
      </c>
      <c r="H346" t="s">
        <v>32</v>
      </c>
      <c r="I346" t="s">
        <v>117</v>
      </c>
      <c r="J346" s="3">
        <v>25304.35</v>
      </c>
      <c r="K346" t="s">
        <v>22</v>
      </c>
      <c r="L346" t="s">
        <v>1257</v>
      </c>
      <c r="M346" s="4">
        <v>45251</v>
      </c>
    </row>
    <row r="347" spans="1:13" x14ac:dyDescent="0.25">
      <c r="A347">
        <v>56291192</v>
      </c>
      <c r="B347" t="s">
        <v>1258</v>
      </c>
      <c r="C347" t="s">
        <v>1259</v>
      </c>
      <c r="D347" t="s">
        <v>30</v>
      </c>
      <c r="E347" t="s">
        <v>3</v>
      </c>
      <c r="F347" t="s">
        <v>1260</v>
      </c>
      <c r="G347" s="2">
        <v>1</v>
      </c>
      <c r="H347" t="s">
        <v>32</v>
      </c>
      <c r="I347" t="s">
        <v>117</v>
      </c>
      <c r="J347" s="3">
        <v>300</v>
      </c>
      <c r="K347" t="s">
        <v>22</v>
      </c>
      <c r="L347" t="s">
        <v>1261</v>
      </c>
      <c r="M347" s="4">
        <v>45251</v>
      </c>
    </row>
    <row r="348" spans="1:13" x14ac:dyDescent="0.25">
      <c r="A348">
        <v>56291200</v>
      </c>
      <c r="B348" t="s">
        <v>1262</v>
      </c>
      <c r="C348" t="s">
        <v>1263</v>
      </c>
      <c r="D348" t="s">
        <v>30</v>
      </c>
      <c r="E348" t="s">
        <v>3</v>
      </c>
      <c r="F348" t="s">
        <v>1264</v>
      </c>
      <c r="G348" s="2">
        <v>4</v>
      </c>
      <c r="H348" t="s">
        <v>32</v>
      </c>
      <c r="I348" t="s">
        <v>117</v>
      </c>
      <c r="J348" s="3">
        <v>191.08</v>
      </c>
      <c r="K348" t="s">
        <v>22</v>
      </c>
      <c r="L348" t="s">
        <v>1265</v>
      </c>
      <c r="M348" s="4">
        <v>45251</v>
      </c>
    </row>
    <row r="349" spans="1:13" x14ac:dyDescent="0.25">
      <c r="A349">
        <v>56291201</v>
      </c>
      <c r="B349" t="s">
        <v>1266</v>
      </c>
      <c r="C349" t="s">
        <v>147</v>
      </c>
      <c r="D349" t="s">
        <v>148</v>
      </c>
      <c r="E349" t="s">
        <v>3</v>
      </c>
      <c r="F349" t="s">
        <v>1267</v>
      </c>
      <c r="G349" s="2">
        <v>1</v>
      </c>
      <c r="H349" t="s">
        <v>32</v>
      </c>
      <c r="I349" t="s">
        <v>117</v>
      </c>
      <c r="J349" s="3">
        <v>2525.56</v>
      </c>
      <c r="K349" t="s">
        <v>22</v>
      </c>
      <c r="L349" t="s">
        <v>1268</v>
      </c>
      <c r="M349" s="4">
        <v>45251</v>
      </c>
    </row>
    <row r="350" spans="1:13" x14ac:dyDescent="0.25">
      <c r="A350">
        <v>56291212</v>
      </c>
      <c r="B350" t="s">
        <v>1269</v>
      </c>
      <c r="C350" t="s">
        <v>163</v>
      </c>
      <c r="D350" t="s">
        <v>30</v>
      </c>
      <c r="E350" t="s">
        <v>3</v>
      </c>
      <c r="F350" t="s">
        <v>1270</v>
      </c>
      <c r="G350" s="2">
        <v>192</v>
      </c>
      <c r="H350" t="s">
        <v>32</v>
      </c>
      <c r="I350" t="s">
        <v>117</v>
      </c>
      <c r="J350" s="3">
        <v>5184</v>
      </c>
      <c r="K350" t="s">
        <v>22</v>
      </c>
      <c r="L350" t="s">
        <v>1271</v>
      </c>
      <c r="M350" s="4">
        <v>45259</v>
      </c>
    </row>
    <row r="351" spans="1:13" x14ac:dyDescent="0.25">
      <c r="A351">
        <v>56291213</v>
      </c>
      <c r="B351" t="s">
        <v>1272</v>
      </c>
      <c r="C351" t="s">
        <v>147</v>
      </c>
      <c r="D351" t="s">
        <v>30</v>
      </c>
      <c r="E351" t="s">
        <v>3</v>
      </c>
      <c r="F351" t="s">
        <v>167</v>
      </c>
      <c r="G351" s="2">
        <v>10</v>
      </c>
      <c r="H351" t="s">
        <v>32</v>
      </c>
      <c r="I351" t="s">
        <v>117</v>
      </c>
      <c r="J351" s="3">
        <v>17310</v>
      </c>
      <c r="K351" t="s">
        <v>22</v>
      </c>
      <c r="L351" t="s">
        <v>1273</v>
      </c>
      <c r="M351" s="4">
        <v>45259</v>
      </c>
    </row>
    <row r="352" spans="1:13" x14ac:dyDescent="0.25">
      <c r="A352">
        <v>56291214</v>
      </c>
      <c r="B352" t="s">
        <v>1274</v>
      </c>
      <c r="C352" t="s">
        <v>1275</v>
      </c>
      <c r="D352" t="s">
        <v>148</v>
      </c>
      <c r="E352" t="s">
        <v>3</v>
      </c>
      <c r="F352" t="s">
        <v>1276</v>
      </c>
      <c r="G352" s="2">
        <v>1</v>
      </c>
      <c r="H352" t="s">
        <v>32</v>
      </c>
      <c r="I352" t="s">
        <v>117</v>
      </c>
      <c r="J352" s="3">
        <v>43872</v>
      </c>
      <c r="K352" t="s">
        <v>22</v>
      </c>
      <c r="L352" t="s">
        <v>1277</v>
      </c>
      <c r="M352" s="4">
        <v>45259</v>
      </c>
    </row>
    <row r="353" spans="1:13" x14ac:dyDescent="0.25">
      <c r="A353">
        <v>56291215</v>
      </c>
      <c r="B353" t="s">
        <v>1278</v>
      </c>
      <c r="C353" t="s">
        <v>147</v>
      </c>
      <c r="D353" t="s">
        <v>148</v>
      </c>
      <c r="E353" t="s">
        <v>3</v>
      </c>
      <c r="F353" t="s">
        <v>1279</v>
      </c>
      <c r="G353" s="2">
        <v>1</v>
      </c>
      <c r="H353" t="s">
        <v>32</v>
      </c>
      <c r="I353" t="s">
        <v>117</v>
      </c>
      <c r="J353" s="3">
        <v>19096.080000000002</v>
      </c>
      <c r="K353" t="s">
        <v>22</v>
      </c>
      <c r="L353" t="s">
        <v>1280</v>
      </c>
      <c r="M353" s="4">
        <v>45260</v>
      </c>
    </row>
    <row r="354" spans="1:13" x14ac:dyDescent="0.25">
      <c r="A354">
        <v>56291219</v>
      </c>
      <c r="B354" t="s">
        <v>1281</v>
      </c>
      <c r="C354" t="s">
        <v>347</v>
      </c>
      <c r="D354" t="s">
        <v>148</v>
      </c>
      <c r="E354" t="s">
        <v>3</v>
      </c>
      <c r="F354" t="s">
        <v>1282</v>
      </c>
      <c r="G354" s="2">
        <v>1</v>
      </c>
      <c r="H354" t="s">
        <v>32</v>
      </c>
      <c r="I354" t="s">
        <v>117</v>
      </c>
      <c r="J354" s="3">
        <v>9138.6</v>
      </c>
      <c r="K354" t="s">
        <v>22</v>
      </c>
      <c r="L354" t="s">
        <v>1283</v>
      </c>
      <c r="M354" s="4">
        <v>45260</v>
      </c>
    </row>
    <row r="355" spans="1:13" x14ac:dyDescent="0.25">
      <c r="A355">
        <v>56291222</v>
      </c>
      <c r="B355" t="s">
        <v>1284</v>
      </c>
      <c r="C355" t="s">
        <v>347</v>
      </c>
      <c r="D355" t="s">
        <v>148</v>
      </c>
      <c r="E355" t="s">
        <v>3</v>
      </c>
      <c r="F355" t="s">
        <v>1285</v>
      </c>
      <c r="G355" s="2">
        <v>1</v>
      </c>
      <c r="H355" t="s">
        <v>32</v>
      </c>
      <c r="I355" t="s">
        <v>117</v>
      </c>
      <c r="J355" s="3">
        <v>9138.6</v>
      </c>
      <c r="K355" t="s">
        <v>22</v>
      </c>
      <c r="L355" t="s">
        <v>1286</v>
      </c>
      <c r="M355" s="4">
        <v>45251</v>
      </c>
    </row>
    <row r="356" spans="1:13" x14ac:dyDescent="0.25">
      <c r="A356">
        <v>56291223</v>
      </c>
      <c r="B356" t="s">
        <v>1287</v>
      </c>
      <c r="C356" t="s">
        <v>347</v>
      </c>
      <c r="D356" t="s">
        <v>148</v>
      </c>
      <c r="E356" t="s">
        <v>3</v>
      </c>
      <c r="F356" t="s">
        <v>1288</v>
      </c>
      <c r="G356" s="2">
        <v>1</v>
      </c>
      <c r="H356" t="s">
        <v>32</v>
      </c>
      <c r="I356" t="s">
        <v>117</v>
      </c>
      <c r="J356" s="3">
        <v>9138.6</v>
      </c>
      <c r="K356" t="s">
        <v>22</v>
      </c>
      <c r="L356" t="s">
        <v>1289</v>
      </c>
      <c r="M356" s="4">
        <v>45251</v>
      </c>
    </row>
    <row r="357" spans="1:13" x14ac:dyDescent="0.25">
      <c r="A357">
        <v>56291230</v>
      </c>
      <c r="B357" t="s">
        <v>1290</v>
      </c>
      <c r="C357" t="s">
        <v>347</v>
      </c>
      <c r="D357" t="s">
        <v>148</v>
      </c>
      <c r="E357" t="s">
        <v>3</v>
      </c>
      <c r="F357" t="s">
        <v>1291</v>
      </c>
      <c r="G357" s="2">
        <v>1</v>
      </c>
      <c r="H357" t="s">
        <v>32</v>
      </c>
      <c r="I357" t="s">
        <v>117</v>
      </c>
      <c r="J357" s="3">
        <v>9138.6</v>
      </c>
      <c r="K357" t="s">
        <v>22</v>
      </c>
      <c r="L357" t="s">
        <v>1292</v>
      </c>
      <c r="M357" s="4">
        <v>45251</v>
      </c>
    </row>
    <row r="358" spans="1:13" x14ac:dyDescent="0.25">
      <c r="A358">
        <v>56291231</v>
      </c>
      <c r="B358" t="s">
        <v>1293</v>
      </c>
      <c r="C358" t="s">
        <v>347</v>
      </c>
      <c r="D358" t="s">
        <v>148</v>
      </c>
      <c r="E358" t="s">
        <v>3</v>
      </c>
      <c r="F358" t="s">
        <v>1294</v>
      </c>
      <c r="G358" s="2">
        <v>1</v>
      </c>
      <c r="H358" t="s">
        <v>32</v>
      </c>
      <c r="I358" t="s">
        <v>117</v>
      </c>
      <c r="J358" s="3">
        <v>9138.6</v>
      </c>
      <c r="K358" t="s">
        <v>22</v>
      </c>
      <c r="L358" t="s">
        <v>1295</v>
      </c>
      <c r="M358" s="4">
        <v>45251</v>
      </c>
    </row>
    <row r="359" spans="1:13" x14ac:dyDescent="0.25">
      <c r="A359">
        <v>56291251</v>
      </c>
      <c r="B359" t="s">
        <v>1296</v>
      </c>
      <c r="C359" t="s">
        <v>1297</v>
      </c>
      <c r="D359" t="s">
        <v>30</v>
      </c>
      <c r="E359" t="s">
        <v>3</v>
      </c>
      <c r="F359" t="s">
        <v>1298</v>
      </c>
      <c r="G359" s="2">
        <v>2</v>
      </c>
      <c r="H359" t="s">
        <v>32</v>
      </c>
      <c r="I359" t="s">
        <v>117</v>
      </c>
      <c r="J359" s="3">
        <v>3286</v>
      </c>
      <c r="K359" t="s">
        <v>22</v>
      </c>
      <c r="L359" t="s">
        <v>1299</v>
      </c>
      <c r="M359" s="4">
        <v>45251</v>
      </c>
    </row>
    <row r="360" spans="1:13" x14ac:dyDescent="0.25">
      <c r="A360">
        <v>56291261</v>
      </c>
      <c r="B360" t="s">
        <v>1300</v>
      </c>
      <c r="C360" t="s">
        <v>999</v>
      </c>
      <c r="D360" t="s">
        <v>210</v>
      </c>
      <c r="E360" t="s">
        <v>3</v>
      </c>
      <c r="F360" t="s">
        <v>1301</v>
      </c>
      <c r="G360" s="2">
        <v>1</v>
      </c>
      <c r="H360" t="s">
        <v>32</v>
      </c>
      <c r="I360" t="s">
        <v>6</v>
      </c>
      <c r="J360" s="3">
        <v>250</v>
      </c>
      <c r="K360" t="s">
        <v>22</v>
      </c>
      <c r="L360" t="s">
        <v>1302</v>
      </c>
      <c r="M360" s="4">
        <v>45252</v>
      </c>
    </row>
    <row r="361" spans="1:13" x14ac:dyDescent="0.25">
      <c r="A361">
        <v>56291262</v>
      </c>
      <c r="B361" t="s">
        <v>1303</v>
      </c>
      <c r="C361" t="s">
        <v>1304</v>
      </c>
      <c r="D361" t="s">
        <v>210</v>
      </c>
      <c r="E361" t="s">
        <v>3</v>
      </c>
      <c r="F361" t="s">
        <v>1305</v>
      </c>
      <c r="G361" s="2">
        <v>1</v>
      </c>
      <c r="H361" t="s">
        <v>32</v>
      </c>
      <c r="I361" t="s">
        <v>6</v>
      </c>
      <c r="J361" s="3">
        <v>909</v>
      </c>
      <c r="K361" t="s">
        <v>22</v>
      </c>
      <c r="L361" t="s">
        <v>1306</v>
      </c>
      <c r="M361" s="4">
        <v>45252</v>
      </c>
    </row>
    <row r="362" spans="1:13" x14ac:dyDescent="0.25">
      <c r="A362">
        <v>56291263</v>
      </c>
      <c r="B362" t="s">
        <v>1307</v>
      </c>
      <c r="C362" t="s">
        <v>1105</v>
      </c>
      <c r="D362" t="s">
        <v>61</v>
      </c>
      <c r="E362" t="s">
        <v>3</v>
      </c>
      <c r="F362" t="s">
        <v>1308</v>
      </c>
      <c r="G362" s="2">
        <v>1</v>
      </c>
      <c r="H362" t="s">
        <v>32</v>
      </c>
      <c r="I362" t="s">
        <v>6</v>
      </c>
      <c r="J362" s="3">
        <v>1500</v>
      </c>
      <c r="K362" t="s">
        <v>22</v>
      </c>
      <c r="L362" t="s">
        <v>1309</v>
      </c>
      <c r="M362" s="4">
        <v>45252</v>
      </c>
    </row>
    <row r="363" spans="1:13" x14ac:dyDescent="0.25">
      <c r="A363">
        <v>56292239</v>
      </c>
      <c r="B363" t="s">
        <v>955</v>
      </c>
      <c r="C363" t="s">
        <v>22</v>
      </c>
      <c r="D363" t="s">
        <v>115</v>
      </c>
      <c r="E363" t="s">
        <v>3</v>
      </c>
      <c r="F363" t="s">
        <v>1310</v>
      </c>
      <c r="G363" s="2">
        <v>1</v>
      </c>
      <c r="H363" t="s">
        <v>5</v>
      </c>
      <c r="I363" t="s">
        <v>33</v>
      </c>
      <c r="J363" s="3">
        <v>0</v>
      </c>
      <c r="K363" t="s">
        <v>1311</v>
      </c>
      <c r="L363" t="s">
        <v>958</v>
      </c>
      <c r="M363" s="4">
        <v>45252</v>
      </c>
    </row>
    <row r="364" spans="1:13" x14ac:dyDescent="0.25">
      <c r="A364">
        <v>56295592</v>
      </c>
      <c r="B364" t="s">
        <v>1312</v>
      </c>
      <c r="C364" t="s">
        <v>734</v>
      </c>
      <c r="D364" t="s">
        <v>210</v>
      </c>
      <c r="E364" t="s">
        <v>3</v>
      </c>
      <c r="F364" t="s">
        <v>1313</v>
      </c>
      <c r="G364" s="2">
        <v>11500</v>
      </c>
      <c r="H364" t="s">
        <v>13</v>
      </c>
      <c r="I364" t="s">
        <v>6</v>
      </c>
      <c r="J364" s="3">
        <v>567.17999999999995</v>
      </c>
      <c r="K364" t="s">
        <v>1314</v>
      </c>
      <c r="L364" t="s">
        <v>1315</v>
      </c>
      <c r="M364" s="4">
        <v>45253</v>
      </c>
    </row>
    <row r="365" spans="1:13" x14ac:dyDescent="0.25">
      <c r="A365">
        <v>56295593</v>
      </c>
      <c r="B365" t="s">
        <v>1316</v>
      </c>
      <c r="C365" t="s">
        <v>1105</v>
      </c>
      <c r="D365" t="s">
        <v>61</v>
      </c>
      <c r="E365" t="s">
        <v>3</v>
      </c>
      <c r="F365" t="s">
        <v>1317</v>
      </c>
      <c r="G365" s="2">
        <v>1</v>
      </c>
      <c r="H365" t="s">
        <v>32</v>
      </c>
      <c r="I365" t="s">
        <v>6</v>
      </c>
      <c r="J365" s="3">
        <v>1500</v>
      </c>
      <c r="K365" t="s">
        <v>22</v>
      </c>
      <c r="L365" t="s">
        <v>1318</v>
      </c>
      <c r="M365" s="4">
        <v>45254</v>
      </c>
    </row>
    <row r="366" spans="1:13" x14ac:dyDescent="0.25">
      <c r="A366">
        <v>56295596</v>
      </c>
      <c r="B366" t="s">
        <v>1319</v>
      </c>
      <c r="C366" t="s">
        <v>1320</v>
      </c>
      <c r="D366" t="s">
        <v>51</v>
      </c>
      <c r="E366" t="s">
        <v>3</v>
      </c>
      <c r="F366" t="s">
        <v>1321</v>
      </c>
      <c r="G366" s="2">
        <v>1</v>
      </c>
      <c r="H366" t="s">
        <v>32</v>
      </c>
      <c r="I366" t="s">
        <v>25</v>
      </c>
      <c r="J366" s="3">
        <v>17878.25</v>
      </c>
      <c r="K366" t="s">
        <v>22</v>
      </c>
      <c r="L366" t="s">
        <v>1322</v>
      </c>
      <c r="M366" s="4">
        <v>45258</v>
      </c>
    </row>
    <row r="367" spans="1:13" x14ac:dyDescent="0.25">
      <c r="A367">
        <v>56295597</v>
      </c>
      <c r="B367" t="s">
        <v>1323</v>
      </c>
      <c r="C367" t="s">
        <v>65</v>
      </c>
      <c r="D367" t="s">
        <v>61</v>
      </c>
      <c r="E367" t="s">
        <v>3</v>
      </c>
      <c r="F367" t="s">
        <v>1324</v>
      </c>
      <c r="G367" s="2">
        <v>1</v>
      </c>
      <c r="H367" t="s">
        <v>32</v>
      </c>
      <c r="I367" t="s">
        <v>6</v>
      </c>
      <c r="J367" s="3">
        <v>1500</v>
      </c>
      <c r="K367" t="s">
        <v>22</v>
      </c>
      <c r="L367" t="s">
        <v>1325</v>
      </c>
      <c r="M367" s="4">
        <v>45252</v>
      </c>
    </row>
    <row r="368" spans="1:13" x14ac:dyDescent="0.25">
      <c r="A368">
        <v>56295609</v>
      </c>
      <c r="B368" t="s">
        <v>1326</v>
      </c>
      <c r="C368" t="s">
        <v>22</v>
      </c>
      <c r="D368" t="s">
        <v>148</v>
      </c>
      <c r="E368" t="s">
        <v>3</v>
      </c>
      <c r="F368" t="s">
        <v>1327</v>
      </c>
      <c r="G368" s="2">
        <v>1</v>
      </c>
      <c r="H368" t="s">
        <v>32</v>
      </c>
      <c r="I368" t="s">
        <v>117</v>
      </c>
      <c r="J368" s="3">
        <v>2895</v>
      </c>
      <c r="K368" t="s">
        <v>22</v>
      </c>
      <c r="L368" t="s">
        <v>1328</v>
      </c>
      <c r="M368" s="4">
        <v>44935</v>
      </c>
    </row>
    <row r="369" spans="1:13" x14ac:dyDescent="0.25">
      <c r="A369">
        <v>56295631</v>
      </c>
      <c r="B369" t="s">
        <v>1329</v>
      </c>
      <c r="C369" t="s">
        <v>65</v>
      </c>
      <c r="D369" t="s">
        <v>342</v>
      </c>
      <c r="E369" t="s">
        <v>3</v>
      </c>
      <c r="F369" t="s">
        <v>1330</v>
      </c>
      <c r="G369" s="2">
        <v>1</v>
      </c>
      <c r="H369" t="s">
        <v>5</v>
      </c>
      <c r="I369" t="s">
        <v>6</v>
      </c>
      <c r="J369" s="3">
        <v>500</v>
      </c>
      <c r="K369" t="s">
        <v>1331</v>
      </c>
      <c r="L369" t="s">
        <v>1332</v>
      </c>
      <c r="M369" s="4">
        <v>45254</v>
      </c>
    </row>
    <row r="370" spans="1:13" x14ac:dyDescent="0.25">
      <c r="A370">
        <v>56295636</v>
      </c>
      <c r="B370" t="s">
        <v>1333</v>
      </c>
      <c r="C370" t="s">
        <v>660</v>
      </c>
      <c r="D370" t="s">
        <v>253</v>
      </c>
      <c r="E370" t="s">
        <v>3</v>
      </c>
      <c r="F370" t="s">
        <v>1334</v>
      </c>
      <c r="G370" s="2">
        <v>1</v>
      </c>
      <c r="H370" t="s">
        <v>32</v>
      </c>
      <c r="I370" t="s">
        <v>25</v>
      </c>
      <c r="J370" s="3">
        <v>800</v>
      </c>
      <c r="K370" t="s">
        <v>22</v>
      </c>
      <c r="L370" t="s">
        <v>1335</v>
      </c>
      <c r="M370" s="4">
        <v>45253</v>
      </c>
    </row>
    <row r="371" spans="1:13" x14ac:dyDescent="0.25">
      <c r="A371">
        <v>56295637</v>
      </c>
      <c r="B371" t="s">
        <v>1336</v>
      </c>
      <c r="C371" t="s">
        <v>424</v>
      </c>
      <c r="D371" t="s">
        <v>61</v>
      </c>
      <c r="E371" t="s">
        <v>3</v>
      </c>
      <c r="F371" t="s">
        <v>1337</v>
      </c>
      <c r="G371" s="2">
        <v>1</v>
      </c>
      <c r="H371" t="s">
        <v>32</v>
      </c>
      <c r="I371" t="s">
        <v>6</v>
      </c>
      <c r="J371" s="3">
        <v>6944.5</v>
      </c>
      <c r="K371" t="s">
        <v>22</v>
      </c>
      <c r="L371" t="s">
        <v>1338</v>
      </c>
      <c r="M371" s="4">
        <v>45254</v>
      </c>
    </row>
    <row r="372" spans="1:13" x14ac:dyDescent="0.25">
      <c r="A372">
        <v>56295638</v>
      </c>
      <c r="B372" t="s">
        <v>1339</v>
      </c>
      <c r="C372" t="s">
        <v>1340</v>
      </c>
      <c r="D372" t="s">
        <v>51</v>
      </c>
      <c r="E372" t="s">
        <v>3</v>
      </c>
      <c r="F372" t="s">
        <v>1341</v>
      </c>
      <c r="G372" s="2">
        <v>24000</v>
      </c>
      <c r="H372" t="s">
        <v>535</v>
      </c>
      <c r="I372" t="s">
        <v>6</v>
      </c>
      <c r="J372" s="3">
        <v>11979.6</v>
      </c>
      <c r="K372" t="s">
        <v>22</v>
      </c>
      <c r="L372" t="s">
        <v>1342</v>
      </c>
      <c r="M372" s="4">
        <v>45254</v>
      </c>
    </row>
    <row r="373" spans="1:13" x14ac:dyDescent="0.25">
      <c r="A373">
        <v>56295639</v>
      </c>
      <c r="B373" t="s">
        <v>1343</v>
      </c>
      <c r="C373" t="s">
        <v>139</v>
      </c>
      <c r="D373" t="s">
        <v>51</v>
      </c>
      <c r="E373" t="s">
        <v>3</v>
      </c>
      <c r="F373" t="s">
        <v>1344</v>
      </c>
      <c r="G373" s="2">
        <v>6000</v>
      </c>
      <c r="H373" t="s">
        <v>32</v>
      </c>
      <c r="I373" t="s">
        <v>6</v>
      </c>
      <c r="J373" s="3">
        <v>3450</v>
      </c>
      <c r="K373" t="s">
        <v>22</v>
      </c>
      <c r="L373" t="s">
        <v>1345</v>
      </c>
      <c r="M373" s="4">
        <v>45254</v>
      </c>
    </row>
    <row r="374" spans="1:13" x14ac:dyDescent="0.25">
      <c r="A374">
        <v>56295640</v>
      </c>
      <c r="B374" t="s">
        <v>1346</v>
      </c>
      <c r="C374" t="s">
        <v>999</v>
      </c>
      <c r="D374" t="s">
        <v>253</v>
      </c>
      <c r="E374" t="s">
        <v>3</v>
      </c>
      <c r="F374" t="s">
        <v>1347</v>
      </c>
      <c r="G374" s="2">
        <v>1</v>
      </c>
      <c r="H374" t="s">
        <v>32</v>
      </c>
      <c r="I374" t="s">
        <v>6</v>
      </c>
      <c r="J374" s="3">
        <v>1600</v>
      </c>
      <c r="K374" t="s">
        <v>22</v>
      </c>
      <c r="L374" t="s">
        <v>1348</v>
      </c>
      <c r="M374" s="4">
        <v>45253</v>
      </c>
    </row>
    <row r="375" spans="1:13" x14ac:dyDescent="0.25">
      <c r="A375">
        <v>56295661</v>
      </c>
      <c r="B375" t="s">
        <v>1349</v>
      </c>
      <c r="C375" t="s">
        <v>1350</v>
      </c>
      <c r="D375" t="s">
        <v>96</v>
      </c>
      <c r="E375" t="s">
        <v>3</v>
      </c>
      <c r="F375" t="s">
        <v>1351</v>
      </c>
      <c r="G375" s="2">
        <v>1</v>
      </c>
      <c r="H375" t="s">
        <v>32</v>
      </c>
      <c r="I375" t="s">
        <v>6</v>
      </c>
      <c r="J375" s="3">
        <v>146400</v>
      </c>
      <c r="K375" t="s">
        <v>22</v>
      </c>
      <c r="L375" t="s">
        <v>1352</v>
      </c>
      <c r="M375" s="4">
        <v>45264</v>
      </c>
    </row>
    <row r="376" spans="1:13" x14ac:dyDescent="0.25">
      <c r="A376">
        <v>56295662</v>
      </c>
      <c r="B376" t="s">
        <v>1353</v>
      </c>
      <c r="C376" t="s">
        <v>1350</v>
      </c>
      <c r="D376" t="s">
        <v>96</v>
      </c>
      <c r="E376" t="s">
        <v>3</v>
      </c>
      <c r="F376" t="s">
        <v>1354</v>
      </c>
      <c r="G376" s="2">
        <v>1</v>
      </c>
      <c r="H376" t="s">
        <v>32</v>
      </c>
      <c r="I376" t="s">
        <v>6</v>
      </c>
      <c r="J376" s="3">
        <v>146400</v>
      </c>
      <c r="K376" t="s">
        <v>22</v>
      </c>
      <c r="L376" t="s">
        <v>1355</v>
      </c>
      <c r="M376" s="4">
        <v>45264</v>
      </c>
    </row>
    <row r="377" spans="1:13" x14ac:dyDescent="0.25">
      <c r="A377">
        <v>56295663</v>
      </c>
      <c r="B377" t="s">
        <v>1356</v>
      </c>
      <c r="C377" t="s">
        <v>1350</v>
      </c>
      <c r="D377" t="s">
        <v>96</v>
      </c>
      <c r="E377" t="s">
        <v>3</v>
      </c>
      <c r="F377" t="s">
        <v>1357</v>
      </c>
      <c r="G377" s="2">
        <v>1</v>
      </c>
      <c r="H377" t="s">
        <v>32</v>
      </c>
      <c r="I377" t="s">
        <v>6</v>
      </c>
      <c r="J377" s="3">
        <v>84000</v>
      </c>
      <c r="K377" t="s">
        <v>22</v>
      </c>
      <c r="L377" t="s">
        <v>1358</v>
      </c>
      <c r="M377" s="4">
        <v>45264</v>
      </c>
    </row>
    <row r="378" spans="1:13" x14ac:dyDescent="0.25">
      <c r="A378">
        <v>56295664</v>
      </c>
      <c r="B378" t="s">
        <v>1359</v>
      </c>
      <c r="C378" t="s">
        <v>1350</v>
      </c>
      <c r="D378" t="s">
        <v>96</v>
      </c>
      <c r="E378" t="s">
        <v>3</v>
      </c>
      <c r="F378" t="s">
        <v>1360</v>
      </c>
      <c r="G378" s="2">
        <v>1</v>
      </c>
      <c r="H378" t="s">
        <v>32</v>
      </c>
      <c r="I378" t="s">
        <v>6</v>
      </c>
      <c r="J378" s="3">
        <v>177842</v>
      </c>
      <c r="K378" t="s">
        <v>22</v>
      </c>
      <c r="L378" t="s">
        <v>1361</v>
      </c>
      <c r="M378" s="4">
        <v>45264</v>
      </c>
    </row>
    <row r="379" spans="1:13" x14ac:dyDescent="0.25">
      <c r="A379">
        <v>56295665</v>
      </c>
      <c r="B379" t="s">
        <v>1362</v>
      </c>
      <c r="C379" t="s">
        <v>1363</v>
      </c>
      <c r="D379" t="s">
        <v>61</v>
      </c>
      <c r="E379" t="s">
        <v>3</v>
      </c>
      <c r="F379" t="s">
        <v>1364</v>
      </c>
      <c r="G379" s="2">
        <v>1040</v>
      </c>
      <c r="H379" t="s">
        <v>32</v>
      </c>
      <c r="I379" t="s">
        <v>33</v>
      </c>
      <c r="J379" s="3">
        <v>128960</v>
      </c>
      <c r="K379" t="s">
        <v>22</v>
      </c>
      <c r="L379" t="s">
        <v>1365</v>
      </c>
      <c r="M379" s="4">
        <v>45267</v>
      </c>
    </row>
    <row r="380" spans="1:13" x14ac:dyDescent="0.25">
      <c r="A380">
        <v>56296548</v>
      </c>
      <c r="B380" t="s">
        <v>1366</v>
      </c>
      <c r="C380" t="s">
        <v>435</v>
      </c>
      <c r="D380" t="s">
        <v>2</v>
      </c>
      <c r="E380" t="s">
        <v>3</v>
      </c>
      <c r="F380" t="s">
        <v>1367</v>
      </c>
      <c r="G380" s="2">
        <v>100</v>
      </c>
      <c r="H380" t="s">
        <v>32</v>
      </c>
      <c r="I380" t="s">
        <v>25</v>
      </c>
      <c r="J380" s="3">
        <v>2250</v>
      </c>
      <c r="K380" t="s">
        <v>22</v>
      </c>
      <c r="L380" t="s">
        <v>1368</v>
      </c>
      <c r="M380" s="4">
        <v>45254</v>
      </c>
    </row>
    <row r="381" spans="1:13" x14ac:dyDescent="0.25">
      <c r="A381">
        <v>56296549</v>
      </c>
      <c r="B381" t="s">
        <v>1369</v>
      </c>
      <c r="C381" t="s">
        <v>11</v>
      </c>
      <c r="D381" t="s">
        <v>2</v>
      </c>
      <c r="E381" t="s">
        <v>3</v>
      </c>
      <c r="F381" t="s">
        <v>12</v>
      </c>
      <c r="G381" s="2">
        <v>796</v>
      </c>
      <c r="H381" t="s">
        <v>13</v>
      </c>
      <c r="I381" t="s">
        <v>6</v>
      </c>
      <c r="J381" s="3">
        <v>2492.8200000000002</v>
      </c>
      <c r="K381" t="s">
        <v>14</v>
      </c>
      <c r="L381" t="s">
        <v>1370</v>
      </c>
      <c r="M381" s="4">
        <v>45258</v>
      </c>
    </row>
    <row r="382" spans="1:13" x14ac:dyDescent="0.25">
      <c r="A382">
        <v>56296719</v>
      </c>
      <c r="B382" t="s">
        <v>1371</v>
      </c>
      <c r="C382" t="s">
        <v>22</v>
      </c>
      <c r="D382" t="s">
        <v>253</v>
      </c>
      <c r="E382" t="s">
        <v>3</v>
      </c>
      <c r="F382" t="s">
        <v>1372</v>
      </c>
      <c r="G382" s="2">
        <v>9</v>
      </c>
      <c r="H382" t="s">
        <v>5</v>
      </c>
      <c r="I382" t="s">
        <v>33</v>
      </c>
      <c r="J382" s="3">
        <v>64260</v>
      </c>
      <c r="K382" t="s">
        <v>22</v>
      </c>
      <c r="L382" t="s">
        <v>1373</v>
      </c>
      <c r="M382" s="4">
        <v>45254</v>
      </c>
    </row>
    <row r="383" spans="1:13" x14ac:dyDescent="0.25">
      <c r="A383">
        <v>56299242</v>
      </c>
      <c r="B383" t="s">
        <v>1374</v>
      </c>
      <c r="C383" t="s">
        <v>1375</v>
      </c>
      <c r="D383" t="s">
        <v>87</v>
      </c>
      <c r="E383" t="s">
        <v>3</v>
      </c>
      <c r="F383" t="s">
        <v>1376</v>
      </c>
      <c r="G383" s="2">
        <v>1</v>
      </c>
      <c r="H383" t="s">
        <v>32</v>
      </c>
      <c r="I383" t="s">
        <v>77</v>
      </c>
      <c r="J383" s="3">
        <v>1636000</v>
      </c>
      <c r="K383" t="s">
        <v>22</v>
      </c>
      <c r="L383" t="s">
        <v>1377</v>
      </c>
      <c r="M383" s="4">
        <v>45259</v>
      </c>
    </row>
    <row r="384" spans="1:13" x14ac:dyDescent="0.25">
      <c r="A384">
        <v>56299244</v>
      </c>
      <c r="B384" t="s">
        <v>1378</v>
      </c>
      <c r="C384" t="s">
        <v>209</v>
      </c>
      <c r="D384" t="s">
        <v>2</v>
      </c>
      <c r="E384" t="s">
        <v>3</v>
      </c>
      <c r="F384" t="s">
        <v>1379</v>
      </c>
      <c r="G384" s="2">
        <v>1</v>
      </c>
      <c r="H384" t="s">
        <v>106</v>
      </c>
      <c r="I384" t="s">
        <v>77</v>
      </c>
      <c r="J384" s="3">
        <v>75000</v>
      </c>
      <c r="K384" t="s">
        <v>22</v>
      </c>
      <c r="L384" t="s">
        <v>1380</v>
      </c>
      <c r="M384" s="4">
        <v>45258</v>
      </c>
    </row>
    <row r="385" spans="1:13" x14ac:dyDescent="0.25">
      <c r="A385">
        <v>56299245</v>
      </c>
      <c r="B385" t="s">
        <v>1381</v>
      </c>
      <c r="C385" t="s">
        <v>135</v>
      </c>
      <c r="D385" t="s">
        <v>2</v>
      </c>
      <c r="E385" t="s">
        <v>3</v>
      </c>
      <c r="F385" t="s">
        <v>1382</v>
      </c>
      <c r="G385" s="2">
        <v>280</v>
      </c>
      <c r="H385" t="s">
        <v>5</v>
      </c>
      <c r="I385" t="s">
        <v>25</v>
      </c>
      <c r="J385" s="3">
        <v>350</v>
      </c>
      <c r="K385" t="s">
        <v>22</v>
      </c>
      <c r="L385" t="s">
        <v>1383</v>
      </c>
      <c r="M385" s="4">
        <v>45254</v>
      </c>
    </row>
    <row r="386" spans="1:13" x14ac:dyDescent="0.25">
      <c r="A386">
        <v>56299247</v>
      </c>
      <c r="B386" t="s">
        <v>1385</v>
      </c>
      <c r="C386" t="s">
        <v>1386</v>
      </c>
      <c r="D386" t="s">
        <v>289</v>
      </c>
      <c r="E386" t="s">
        <v>3</v>
      </c>
      <c r="F386" t="s">
        <v>1387</v>
      </c>
      <c r="G386" s="2">
        <v>500</v>
      </c>
      <c r="H386" t="s">
        <v>5</v>
      </c>
      <c r="I386" t="s">
        <v>6</v>
      </c>
      <c r="J386" s="3">
        <v>172</v>
      </c>
      <c r="K386" t="s">
        <v>1388</v>
      </c>
      <c r="L386" t="s">
        <v>1389</v>
      </c>
      <c r="M386" s="4">
        <v>45254</v>
      </c>
    </row>
    <row r="387" spans="1:13" x14ac:dyDescent="0.25">
      <c r="A387">
        <v>56299248</v>
      </c>
      <c r="B387" t="s">
        <v>1390</v>
      </c>
      <c r="C387" t="s">
        <v>582</v>
      </c>
      <c r="D387" t="s">
        <v>342</v>
      </c>
      <c r="E387" t="s">
        <v>3</v>
      </c>
      <c r="F387" t="s">
        <v>1391</v>
      </c>
      <c r="G387" s="2">
        <v>1</v>
      </c>
      <c r="H387" t="s">
        <v>5</v>
      </c>
      <c r="I387" t="s">
        <v>6</v>
      </c>
      <c r="J387" s="3">
        <v>3026</v>
      </c>
      <c r="K387" t="s">
        <v>1392</v>
      </c>
      <c r="L387" t="s">
        <v>1393</v>
      </c>
      <c r="M387" s="4">
        <v>45261</v>
      </c>
    </row>
    <row r="388" spans="1:13" x14ac:dyDescent="0.25">
      <c r="A388">
        <v>56299249</v>
      </c>
      <c r="B388" t="s">
        <v>1394</v>
      </c>
      <c r="C388" t="s">
        <v>424</v>
      </c>
      <c r="D388" t="s">
        <v>301</v>
      </c>
      <c r="E388" t="s">
        <v>3</v>
      </c>
      <c r="F388" t="s">
        <v>1395</v>
      </c>
      <c r="G388" s="2">
        <v>1</v>
      </c>
      <c r="H388" t="s">
        <v>106</v>
      </c>
      <c r="I388" t="s">
        <v>25</v>
      </c>
      <c r="J388" s="3">
        <v>10143.1</v>
      </c>
      <c r="K388" t="s">
        <v>22</v>
      </c>
      <c r="L388" t="s">
        <v>1396</v>
      </c>
      <c r="M388" s="4">
        <v>45254</v>
      </c>
    </row>
    <row r="389" spans="1:13" x14ac:dyDescent="0.25">
      <c r="A389">
        <v>56299260</v>
      </c>
      <c r="B389" t="s">
        <v>1397</v>
      </c>
      <c r="C389" t="s">
        <v>582</v>
      </c>
      <c r="D389" t="s">
        <v>253</v>
      </c>
      <c r="E389" t="s">
        <v>3</v>
      </c>
      <c r="F389" t="s">
        <v>1398</v>
      </c>
      <c r="G389" s="2">
        <v>1</v>
      </c>
      <c r="H389" t="s">
        <v>32</v>
      </c>
      <c r="I389" t="s">
        <v>25</v>
      </c>
      <c r="J389" s="3">
        <v>6909</v>
      </c>
      <c r="K389" t="s">
        <v>22</v>
      </c>
      <c r="L389" t="s">
        <v>1399</v>
      </c>
      <c r="M389" s="4">
        <v>45259</v>
      </c>
    </row>
    <row r="390" spans="1:13" x14ac:dyDescent="0.25">
      <c r="A390">
        <v>56299261</v>
      </c>
      <c r="B390" t="s">
        <v>1400</v>
      </c>
      <c r="C390" t="s">
        <v>322</v>
      </c>
      <c r="D390" t="s">
        <v>2</v>
      </c>
      <c r="E390" t="s">
        <v>3</v>
      </c>
      <c r="F390" t="s">
        <v>1401</v>
      </c>
      <c r="G390" s="2">
        <v>300</v>
      </c>
      <c r="H390" t="s">
        <v>32</v>
      </c>
      <c r="I390" t="s">
        <v>25</v>
      </c>
      <c r="J390" s="3">
        <v>828</v>
      </c>
      <c r="K390" t="s">
        <v>22</v>
      </c>
      <c r="L390" t="s">
        <v>1402</v>
      </c>
      <c r="M390" s="4">
        <v>45254</v>
      </c>
    </row>
    <row r="391" spans="1:13" x14ac:dyDescent="0.25">
      <c r="A391">
        <v>56299582</v>
      </c>
      <c r="B391" t="s">
        <v>1403</v>
      </c>
      <c r="C391" t="s">
        <v>1105</v>
      </c>
      <c r="D391" t="s">
        <v>61</v>
      </c>
      <c r="E391" t="s">
        <v>3</v>
      </c>
      <c r="F391" t="s">
        <v>1404</v>
      </c>
      <c r="G391" s="2">
        <v>1</v>
      </c>
      <c r="H391" t="s">
        <v>32</v>
      </c>
      <c r="I391" t="s">
        <v>6</v>
      </c>
      <c r="J391" s="3">
        <v>1500</v>
      </c>
      <c r="K391" t="s">
        <v>22</v>
      </c>
      <c r="L391" t="s">
        <v>1405</v>
      </c>
      <c r="M391" s="4">
        <v>45259</v>
      </c>
    </row>
    <row r="392" spans="1:13" x14ac:dyDescent="0.25">
      <c r="A392">
        <v>56299583</v>
      </c>
      <c r="B392" t="s">
        <v>1406</v>
      </c>
      <c r="C392" t="s">
        <v>1157</v>
      </c>
      <c r="D392" t="s">
        <v>896</v>
      </c>
      <c r="E392" t="s">
        <v>3</v>
      </c>
      <c r="F392" t="s">
        <v>1407</v>
      </c>
      <c r="G392" s="2">
        <v>1</v>
      </c>
      <c r="H392" t="s">
        <v>32</v>
      </c>
      <c r="I392" t="s">
        <v>6</v>
      </c>
      <c r="J392" s="3">
        <v>1250</v>
      </c>
      <c r="K392" t="s">
        <v>22</v>
      </c>
      <c r="L392" t="s">
        <v>1408</v>
      </c>
      <c r="M392" s="4">
        <v>45257</v>
      </c>
    </row>
    <row r="393" spans="1:13" x14ac:dyDescent="0.25">
      <c r="A393">
        <v>56299584</v>
      </c>
      <c r="B393" t="s">
        <v>1409</v>
      </c>
      <c r="C393" t="s">
        <v>1410</v>
      </c>
      <c r="D393" t="s">
        <v>51</v>
      </c>
      <c r="E393" t="s">
        <v>3</v>
      </c>
      <c r="F393" t="s">
        <v>1411</v>
      </c>
      <c r="G393" s="2">
        <v>1</v>
      </c>
      <c r="H393" t="s">
        <v>32</v>
      </c>
      <c r="I393" t="s">
        <v>25</v>
      </c>
      <c r="J393" s="3">
        <v>77055</v>
      </c>
      <c r="K393" t="s">
        <v>22</v>
      </c>
      <c r="L393" t="s">
        <v>1412</v>
      </c>
      <c r="M393" s="4">
        <v>45259</v>
      </c>
    </row>
    <row r="394" spans="1:13" x14ac:dyDescent="0.25">
      <c r="A394">
        <v>56299585</v>
      </c>
      <c r="B394" t="s">
        <v>1413</v>
      </c>
      <c r="C394" t="s">
        <v>664</v>
      </c>
      <c r="D394" t="s">
        <v>896</v>
      </c>
      <c r="E394" t="s">
        <v>3</v>
      </c>
      <c r="F394" t="s">
        <v>1414</v>
      </c>
      <c r="G394" s="2">
        <v>1</v>
      </c>
      <c r="H394" t="s">
        <v>32</v>
      </c>
      <c r="I394" t="s">
        <v>25</v>
      </c>
      <c r="J394" s="3">
        <v>2200</v>
      </c>
      <c r="K394" t="s">
        <v>22</v>
      </c>
      <c r="L394" t="s">
        <v>1415</v>
      </c>
      <c r="M394" s="4">
        <v>45257</v>
      </c>
    </row>
    <row r="395" spans="1:13" x14ac:dyDescent="0.25">
      <c r="A395">
        <v>56299586</v>
      </c>
      <c r="B395" t="s">
        <v>1416</v>
      </c>
      <c r="C395" t="s">
        <v>341</v>
      </c>
      <c r="D395" t="s">
        <v>896</v>
      </c>
      <c r="E395" t="s">
        <v>3</v>
      </c>
      <c r="F395" t="s">
        <v>1407</v>
      </c>
      <c r="G395" s="2">
        <v>1</v>
      </c>
      <c r="H395" t="s">
        <v>32</v>
      </c>
      <c r="I395" t="s">
        <v>25</v>
      </c>
      <c r="J395" s="3">
        <v>1000</v>
      </c>
      <c r="K395" t="s">
        <v>22</v>
      </c>
      <c r="L395" t="s">
        <v>1417</v>
      </c>
      <c r="M395" s="4">
        <v>45257</v>
      </c>
    </row>
    <row r="396" spans="1:13" x14ac:dyDescent="0.25">
      <c r="A396">
        <v>56325821</v>
      </c>
      <c r="B396" t="s">
        <v>1418</v>
      </c>
      <c r="C396" t="s">
        <v>341</v>
      </c>
      <c r="D396" t="s">
        <v>56</v>
      </c>
      <c r="E396" t="s">
        <v>3</v>
      </c>
      <c r="F396" t="s">
        <v>1419</v>
      </c>
      <c r="G396" s="2">
        <v>1</v>
      </c>
      <c r="H396" t="s">
        <v>13</v>
      </c>
      <c r="I396" t="s">
        <v>25</v>
      </c>
      <c r="J396" s="3">
        <v>1450</v>
      </c>
      <c r="K396" t="s">
        <v>1420</v>
      </c>
      <c r="L396" t="s">
        <v>1421</v>
      </c>
      <c r="M396" s="4">
        <v>45258</v>
      </c>
    </row>
    <row r="397" spans="1:13" x14ac:dyDescent="0.25">
      <c r="A397">
        <v>56325826</v>
      </c>
      <c r="B397" t="s">
        <v>1422</v>
      </c>
      <c r="C397" t="s">
        <v>1423</v>
      </c>
      <c r="D397" t="s">
        <v>37</v>
      </c>
      <c r="E397" t="s">
        <v>3</v>
      </c>
      <c r="F397" t="s">
        <v>1424</v>
      </c>
      <c r="G397" s="2">
        <v>204</v>
      </c>
      <c r="H397" t="s">
        <v>32</v>
      </c>
      <c r="I397" t="s">
        <v>6</v>
      </c>
      <c r="J397" s="3">
        <v>201.96</v>
      </c>
      <c r="K397" t="s">
        <v>22</v>
      </c>
      <c r="L397" t="s">
        <v>1425</v>
      </c>
      <c r="M397" s="4">
        <v>45259</v>
      </c>
    </row>
    <row r="398" spans="1:13" x14ac:dyDescent="0.25">
      <c r="A398">
        <v>56325827</v>
      </c>
      <c r="B398" t="s">
        <v>1426</v>
      </c>
      <c r="C398" t="s">
        <v>1423</v>
      </c>
      <c r="D398" t="s">
        <v>37</v>
      </c>
      <c r="E398" t="s">
        <v>3</v>
      </c>
      <c r="F398" t="s">
        <v>1427</v>
      </c>
      <c r="G398" s="2">
        <v>204</v>
      </c>
      <c r="H398" t="s">
        <v>32</v>
      </c>
      <c r="I398" t="s">
        <v>6</v>
      </c>
      <c r="J398" s="3">
        <v>348.84</v>
      </c>
      <c r="K398" t="s">
        <v>22</v>
      </c>
      <c r="L398" t="s">
        <v>1428</v>
      </c>
      <c r="M398" s="4">
        <v>45259</v>
      </c>
    </row>
    <row r="399" spans="1:13" x14ac:dyDescent="0.25">
      <c r="A399">
        <v>56325858</v>
      </c>
      <c r="B399" t="s">
        <v>1429</v>
      </c>
      <c r="C399" t="s">
        <v>1430</v>
      </c>
      <c r="D399" t="s">
        <v>148</v>
      </c>
      <c r="E399" t="s">
        <v>3</v>
      </c>
      <c r="F399" t="s">
        <v>1431</v>
      </c>
      <c r="G399" s="2">
        <v>1</v>
      </c>
      <c r="H399" t="s">
        <v>32</v>
      </c>
      <c r="I399" t="s">
        <v>117</v>
      </c>
      <c r="J399" s="3">
        <v>4793</v>
      </c>
      <c r="K399" t="s">
        <v>22</v>
      </c>
      <c r="L399" t="s">
        <v>1432</v>
      </c>
      <c r="M399" s="4">
        <v>45264</v>
      </c>
    </row>
    <row r="400" spans="1:13" x14ac:dyDescent="0.25">
      <c r="A400">
        <v>56325859</v>
      </c>
      <c r="B400" t="s">
        <v>1433</v>
      </c>
      <c r="C400" t="s">
        <v>257</v>
      </c>
      <c r="D400" t="s">
        <v>75</v>
      </c>
      <c r="E400" t="s">
        <v>3</v>
      </c>
      <c r="F400" t="s">
        <v>439</v>
      </c>
      <c r="G400" s="2">
        <v>100</v>
      </c>
      <c r="H400" t="s">
        <v>5</v>
      </c>
      <c r="I400" t="s">
        <v>25</v>
      </c>
      <c r="J400" s="3">
        <v>1700</v>
      </c>
      <c r="K400" t="s">
        <v>22</v>
      </c>
      <c r="L400" t="s">
        <v>1434</v>
      </c>
      <c r="M400" s="4">
        <v>45261</v>
      </c>
    </row>
    <row r="401" spans="1:13" x14ac:dyDescent="0.25">
      <c r="A401">
        <v>56327100</v>
      </c>
      <c r="B401" t="s">
        <v>1435</v>
      </c>
      <c r="C401" t="s">
        <v>147</v>
      </c>
      <c r="D401" t="s">
        <v>148</v>
      </c>
      <c r="E401" t="s">
        <v>3</v>
      </c>
      <c r="F401" t="s">
        <v>1436</v>
      </c>
      <c r="G401" s="2">
        <v>2</v>
      </c>
      <c r="H401" t="s">
        <v>32</v>
      </c>
      <c r="I401" t="s">
        <v>117</v>
      </c>
      <c r="J401" s="3">
        <v>9250.7800000000007</v>
      </c>
      <c r="K401" t="s">
        <v>22</v>
      </c>
      <c r="L401" t="s">
        <v>1437</v>
      </c>
      <c r="M401" s="4">
        <v>45258</v>
      </c>
    </row>
    <row r="402" spans="1:13" x14ac:dyDescent="0.25">
      <c r="A402">
        <v>56327149</v>
      </c>
      <c r="B402" t="s">
        <v>1438</v>
      </c>
      <c r="C402" t="s">
        <v>322</v>
      </c>
      <c r="D402" t="s">
        <v>51</v>
      </c>
      <c r="E402" t="s">
        <v>3</v>
      </c>
      <c r="F402" t="s">
        <v>1439</v>
      </c>
      <c r="G402" s="2">
        <v>504</v>
      </c>
      <c r="H402" t="s">
        <v>5</v>
      </c>
      <c r="I402" t="s">
        <v>6</v>
      </c>
      <c r="J402" s="3">
        <v>2700.94</v>
      </c>
      <c r="K402" t="s">
        <v>22</v>
      </c>
      <c r="L402" t="s">
        <v>1440</v>
      </c>
      <c r="M402" s="4">
        <v>45258</v>
      </c>
    </row>
    <row r="403" spans="1:13" x14ac:dyDescent="0.25">
      <c r="A403">
        <v>56327150</v>
      </c>
      <c r="B403" t="s">
        <v>1441</v>
      </c>
      <c r="C403" t="s">
        <v>1442</v>
      </c>
      <c r="D403" t="s">
        <v>51</v>
      </c>
      <c r="E403" t="s">
        <v>3</v>
      </c>
      <c r="F403" t="s">
        <v>1443</v>
      </c>
      <c r="G403" s="2">
        <v>3000</v>
      </c>
      <c r="H403" t="s">
        <v>5</v>
      </c>
      <c r="I403" t="s">
        <v>6</v>
      </c>
      <c r="J403" s="3">
        <v>6000</v>
      </c>
      <c r="K403" t="s">
        <v>22</v>
      </c>
      <c r="L403" t="s">
        <v>1444</v>
      </c>
      <c r="M403" s="4">
        <v>45261</v>
      </c>
    </row>
    <row r="404" spans="1:13" x14ac:dyDescent="0.25">
      <c r="A404">
        <v>56327151</v>
      </c>
      <c r="B404" t="s">
        <v>1445</v>
      </c>
      <c r="C404" t="s">
        <v>1446</v>
      </c>
      <c r="D404" t="s">
        <v>148</v>
      </c>
      <c r="E404" t="s">
        <v>3</v>
      </c>
      <c r="F404" t="s">
        <v>1447</v>
      </c>
      <c r="G404" s="2">
        <v>1</v>
      </c>
      <c r="H404" t="s">
        <v>32</v>
      </c>
      <c r="I404" t="s">
        <v>117</v>
      </c>
      <c r="J404" s="3">
        <v>8155</v>
      </c>
      <c r="K404" t="s">
        <v>22</v>
      </c>
      <c r="L404" t="s">
        <v>1448</v>
      </c>
      <c r="M404" s="4">
        <v>45259</v>
      </c>
    </row>
    <row r="405" spans="1:13" x14ac:dyDescent="0.25">
      <c r="A405">
        <v>56327188</v>
      </c>
      <c r="B405" t="s">
        <v>1449</v>
      </c>
      <c r="C405" t="s">
        <v>390</v>
      </c>
      <c r="D405" t="s">
        <v>51</v>
      </c>
      <c r="E405" t="s">
        <v>3</v>
      </c>
      <c r="F405" t="s">
        <v>1450</v>
      </c>
      <c r="G405" s="2">
        <v>600</v>
      </c>
      <c r="H405" t="s">
        <v>32</v>
      </c>
      <c r="I405" t="s">
        <v>25</v>
      </c>
      <c r="J405" s="3">
        <v>1008</v>
      </c>
      <c r="K405" t="s">
        <v>22</v>
      </c>
      <c r="L405" t="s">
        <v>1451</v>
      </c>
      <c r="M405" s="4">
        <v>45261</v>
      </c>
    </row>
    <row r="406" spans="1:13" x14ac:dyDescent="0.25">
      <c r="A406">
        <v>56328685</v>
      </c>
      <c r="B406" t="s">
        <v>1452</v>
      </c>
      <c r="C406" t="s">
        <v>322</v>
      </c>
      <c r="D406" t="s">
        <v>2</v>
      </c>
      <c r="E406" t="s">
        <v>3</v>
      </c>
      <c r="F406" t="s">
        <v>1401</v>
      </c>
      <c r="G406" s="2">
        <v>150</v>
      </c>
      <c r="H406" t="s">
        <v>32</v>
      </c>
      <c r="I406" t="s">
        <v>25</v>
      </c>
      <c r="J406" s="3">
        <v>0</v>
      </c>
      <c r="K406" t="s">
        <v>22</v>
      </c>
      <c r="L406" t="s">
        <v>22</v>
      </c>
      <c r="M406" s="4"/>
    </row>
    <row r="407" spans="1:13" x14ac:dyDescent="0.25">
      <c r="A407">
        <v>56328863</v>
      </c>
      <c r="B407" t="s">
        <v>1453</v>
      </c>
      <c r="C407" t="s">
        <v>322</v>
      </c>
      <c r="D407" t="s">
        <v>51</v>
      </c>
      <c r="E407" t="s">
        <v>3</v>
      </c>
      <c r="F407" t="s">
        <v>1454</v>
      </c>
      <c r="G407" s="2">
        <v>300</v>
      </c>
      <c r="H407" t="s">
        <v>5</v>
      </c>
      <c r="I407" t="s">
        <v>25</v>
      </c>
      <c r="J407" s="3">
        <v>828</v>
      </c>
      <c r="K407" t="s">
        <v>22</v>
      </c>
      <c r="L407" t="s">
        <v>1455</v>
      </c>
      <c r="M407" s="4">
        <v>45261</v>
      </c>
    </row>
    <row r="408" spans="1:13" x14ac:dyDescent="0.25">
      <c r="A408">
        <v>56328915</v>
      </c>
      <c r="B408" t="s">
        <v>1456</v>
      </c>
      <c r="C408" t="s">
        <v>147</v>
      </c>
      <c r="D408" t="s">
        <v>148</v>
      </c>
      <c r="E408" t="s">
        <v>3</v>
      </c>
      <c r="F408" t="s">
        <v>1457</v>
      </c>
      <c r="G408" s="2">
        <v>2</v>
      </c>
      <c r="H408" t="s">
        <v>32</v>
      </c>
      <c r="I408" t="s">
        <v>117</v>
      </c>
      <c r="J408" s="3">
        <v>1140.0999999999999</v>
      </c>
      <c r="K408" t="s">
        <v>22</v>
      </c>
      <c r="L408" t="s">
        <v>1458</v>
      </c>
      <c r="M408" s="4">
        <v>45259</v>
      </c>
    </row>
    <row r="409" spans="1:13" x14ac:dyDescent="0.25">
      <c r="A409">
        <v>56329823</v>
      </c>
      <c r="B409" t="s">
        <v>1459</v>
      </c>
      <c r="C409" t="s">
        <v>734</v>
      </c>
      <c r="D409" t="s">
        <v>210</v>
      </c>
      <c r="E409" t="s">
        <v>3</v>
      </c>
      <c r="F409" t="s">
        <v>1460</v>
      </c>
      <c r="G409" s="2">
        <v>15905</v>
      </c>
      <c r="H409" t="s">
        <v>13</v>
      </c>
      <c r="I409" t="s">
        <v>6</v>
      </c>
      <c r="J409" s="3">
        <v>717.48</v>
      </c>
      <c r="K409" t="s">
        <v>22</v>
      </c>
      <c r="L409" t="s">
        <v>1461</v>
      </c>
      <c r="M409" s="4">
        <v>45261</v>
      </c>
    </row>
    <row r="410" spans="1:13" x14ac:dyDescent="0.25">
      <c r="A410">
        <v>56329827</v>
      </c>
      <c r="B410" t="s">
        <v>1462</v>
      </c>
      <c r="C410" t="s">
        <v>424</v>
      </c>
      <c r="D410" t="s">
        <v>263</v>
      </c>
      <c r="E410" t="s">
        <v>3</v>
      </c>
      <c r="F410" t="s">
        <v>1463</v>
      </c>
      <c r="G410" s="2">
        <v>1</v>
      </c>
      <c r="H410" t="s">
        <v>5</v>
      </c>
      <c r="I410" t="s">
        <v>25</v>
      </c>
      <c r="J410" s="3">
        <v>2448</v>
      </c>
      <c r="K410" t="s">
        <v>1464</v>
      </c>
      <c r="L410" t="s">
        <v>1465</v>
      </c>
      <c r="M410" s="4">
        <v>45261</v>
      </c>
    </row>
    <row r="411" spans="1:13" x14ac:dyDescent="0.25">
      <c r="A411">
        <v>56329829</v>
      </c>
      <c r="B411" t="s">
        <v>1466</v>
      </c>
      <c r="C411" t="s">
        <v>424</v>
      </c>
      <c r="D411" t="s">
        <v>263</v>
      </c>
      <c r="E411" t="s">
        <v>3</v>
      </c>
      <c r="F411" t="s">
        <v>1463</v>
      </c>
      <c r="G411" s="2">
        <v>1</v>
      </c>
      <c r="H411" t="s">
        <v>5</v>
      </c>
      <c r="I411" t="s">
        <v>25</v>
      </c>
      <c r="J411" s="3">
        <v>1632</v>
      </c>
      <c r="K411" t="s">
        <v>1464</v>
      </c>
      <c r="L411" t="s">
        <v>1467</v>
      </c>
      <c r="M411" s="4">
        <v>45261</v>
      </c>
    </row>
    <row r="412" spans="1:13" x14ac:dyDescent="0.25">
      <c r="A412">
        <v>56329830</v>
      </c>
      <c r="B412" t="s">
        <v>1468</v>
      </c>
      <c r="C412" t="s">
        <v>1035</v>
      </c>
      <c r="D412" t="s">
        <v>2</v>
      </c>
      <c r="E412" t="s">
        <v>3</v>
      </c>
      <c r="F412" t="s">
        <v>1036</v>
      </c>
      <c r="G412" s="2">
        <v>1194</v>
      </c>
      <c r="H412" t="s">
        <v>32</v>
      </c>
      <c r="I412" t="s">
        <v>25</v>
      </c>
      <c r="J412" s="3">
        <v>1731.3</v>
      </c>
      <c r="K412" t="s">
        <v>22</v>
      </c>
      <c r="L412" t="s">
        <v>1469</v>
      </c>
      <c r="M412" s="4">
        <v>45261</v>
      </c>
    </row>
    <row r="413" spans="1:13" x14ac:dyDescent="0.25">
      <c r="A413">
        <v>56329858</v>
      </c>
      <c r="B413" t="s">
        <v>1470</v>
      </c>
      <c r="C413" t="s">
        <v>582</v>
      </c>
      <c r="D413" t="s">
        <v>253</v>
      </c>
      <c r="E413" t="s">
        <v>3</v>
      </c>
      <c r="F413" t="s">
        <v>1471</v>
      </c>
      <c r="G413" s="2">
        <v>1</v>
      </c>
      <c r="H413" t="s">
        <v>32</v>
      </c>
      <c r="I413" t="s">
        <v>25</v>
      </c>
      <c r="J413" s="3">
        <v>2100</v>
      </c>
      <c r="K413" t="s">
        <v>22</v>
      </c>
      <c r="L413" t="s">
        <v>1472</v>
      </c>
      <c r="M413" s="4">
        <v>45261</v>
      </c>
    </row>
    <row r="414" spans="1:13" x14ac:dyDescent="0.25">
      <c r="A414">
        <v>56329860</v>
      </c>
      <c r="B414" t="s">
        <v>1473</v>
      </c>
      <c r="C414" t="s">
        <v>682</v>
      </c>
      <c r="D414" t="s">
        <v>96</v>
      </c>
      <c r="E414" t="s">
        <v>3</v>
      </c>
      <c r="F414" t="s">
        <v>1474</v>
      </c>
      <c r="G414" s="2">
        <v>1</v>
      </c>
      <c r="H414" t="s">
        <v>32</v>
      </c>
      <c r="I414" t="s">
        <v>6</v>
      </c>
      <c r="J414" s="3">
        <v>1200</v>
      </c>
      <c r="K414" t="s">
        <v>22</v>
      </c>
      <c r="L414" t="s">
        <v>1475</v>
      </c>
      <c r="M414" s="4">
        <v>45261</v>
      </c>
    </row>
    <row r="415" spans="1:13" x14ac:dyDescent="0.25">
      <c r="A415">
        <v>56330258</v>
      </c>
      <c r="B415" t="s">
        <v>1476</v>
      </c>
      <c r="C415" t="s">
        <v>11</v>
      </c>
      <c r="D415" t="s">
        <v>2</v>
      </c>
      <c r="E415" t="s">
        <v>3</v>
      </c>
      <c r="F415" t="s">
        <v>1477</v>
      </c>
      <c r="G415" s="2">
        <v>703</v>
      </c>
      <c r="H415" t="s">
        <v>13</v>
      </c>
      <c r="I415" t="s">
        <v>6</v>
      </c>
      <c r="J415" s="3">
        <v>2184.0500000000002</v>
      </c>
      <c r="K415" t="s">
        <v>22</v>
      </c>
      <c r="L415" t="s">
        <v>1478</v>
      </c>
      <c r="M415" s="4">
        <v>45264</v>
      </c>
    </row>
    <row r="416" spans="1:13" x14ac:dyDescent="0.25">
      <c r="A416">
        <v>56330259</v>
      </c>
      <c r="B416" t="s">
        <v>1479</v>
      </c>
      <c r="C416" t="s">
        <v>1070</v>
      </c>
      <c r="D416" t="s">
        <v>253</v>
      </c>
      <c r="E416" t="s">
        <v>3</v>
      </c>
      <c r="F416" t="s">
        <v>1480</v>
      </c>
      <c r="G416" s="2">
        <v>1</v>
      </c>
      <c r="H416" t="s">
        <v>32</v>
      </c>
      <c r="I416" t="s">
        <v>6</v>
      </c>
      <c r="J416" s="3">
        <v>3145</v>
      </c>
      <c r="K416" t="s">
        <v>22</v>
      </c>
      <c r="L416" t="s">
        <v>1481</v>
      </c>
      <c r="M416" s="4">
        <v>45261</v>
      </c>
    </row>
    <row r="417" spans="1:13" x14ac:dyDescent="0.25">
      <c r="A417">
        <v>56330260</v>
      </c>
      <c r="B417" t="s">
        <v>1482</v>
      </c>
      <c r="C417" t="s">
        <v>1070</v>
      </c>
      <c r="D417" t="s">
        <v>253</v>
      </c>
      <c r="E417" t="s">
        <v>3</v>
      </c>
      <c r="F417" t="s">
        <v>1483</v>
      </c>
      <c r="G417" s="2">
        <v>1</v>
      </c>
      <c r="H417" t="s">
        <v>32</v>
      </c>
      <c r="I417" t="s">
        <v>6</v>
      </c>
      <c r="J417" s="3">
        <v>3196</v>
      </c>
      <c r="K417" t="s">
        <v>22</v>
      </c>
      <c r="L417" t="s">
        <v>1484</v>
      </c>
      <c r="M417" s="4">
        <v>45261</v>
      </c>
    </row>
    <row r="418" spans="1:13" x14ac:dyDescent="0.25">
      <c r="A418">
        <v>56330261</v>
      </c>
      <c r="B418" t="s">
        <v>1485</v>
      </c>
      <c r="C418" t="s">
        <v>1070</v>
      </c>
      <c r="D418" t="s">
        <v>253</v>
      </c>
      <c r="E418" t="s">
        <v>3</v>
      </c>
      <c r="F418" t="s">
        <v>1486</v>
      </c>
      <c r="G418" s="2">
        <v>1</v>
      </c>
      <c r="H418" t="s">
        <v>32</v>
      </c>
      <c r="I418" t="s">
        <v>6</v>
      </c>
      <c r="J418" s="3">
        <v>3315</v>
      </c>
      <c r="K418" t="s">
        <v>22</v>
      </c>
      <c r="L418" t="s">
        <v>1487</v>
      </c>
      <c r="M418" s="4">
        <v>45261</v>
      </c>
    </row>
    <row r="419" spans="1:13" x14ac:dyDescent="0.25">
      <c r="A419">
        <v>56330263</v>
      </c>
      <c r="B419" t="s">
        <v>1488</v>
      </c>
      <c r="C419" t="s">
        <v>65</v>
      </c>
      <c r="D419" t="s">
        <v>23</v>
      </c>
      <c r="E419" t="s">
        <v>3</v>
      </c>
      <c r="F419" t="s">
        <v>1489</v>
      </c>
      <c r="G419" s="2">
        <v>1</v>
      </c>
      <c r="H419" t="s">
        <v>32</v>
      </c>
      <c r="I419" t="s">
        <v>6</v>
      </c>
      <c r="J419" s="3">
        <v>600</v>
      </c>
      <c r="K419" t="s">
        <v>22</v>
      </c>
      <c r="L419" t="s">
        <v>1490</v>
      </c>
      <c r="M419" s="4">
        <v>45261</v>
      </c>
    </row>
    <row r="420" spans="1:13" x14ac:dyDescent="0.25">
      <c r="A420">
        <v>56330264</v>
      </c>
      <c r="B420" t="s">
        <v>1491</v>
      </c>
      <c r="C420" t="s">
        <v>22</v>
      </c>
      <c r="D420" t="s">
        <v>23</v>
      </c>
      <c r="E420" t="s">
        <v>3</v>
      </c>
      <c r="F420" t="s">
        <v>1492</v>
      </c>
      <c r="G420" s="2">
        <v>1</v>
      </c>
      <c r="H420" t="s">
        <v>32</v>
      </c>
      <c r="I420" t="s">
        <v>25</v>
      </c>
      <c r="J420" s="3">
        <v>1000</v>
      </c>
      <c r="K420" t="s">
        <v>22</v>
      </c>
      <c r="L420" t="s">
        <v>1493</v>
      </c>
      <c r="M420" s="4">
        <v>45264</v>
      </c>
    </row>
    <row r="421" spans="1:13" x14ac:dyDescent="0.25">
      <c r="A421">
        <v>56330267</v>
      </c>
      <c r="B421" t="s">
        <v>1494</v>
      </c>
      <c r="C421" t="s">
        <v>22</v>
      </c>
      <c r="D421" t="s">
        <v>23</v>
      </c>
      <c r="E421" t="s">
        <v>3</v>
      </c>
      <c r="F421" t="s">
        <v>1495</v>
      </c>
      <c r="G421" s="2">
        <v>1</v>
      </c>
      <c r="H421" t="s">
        <v>5</v>
      </c>
      <c r="I421" t="s">
        <v>25</v>
      </c>
      <c r="J421" s="3">
        <v>500</v>
      </c>
      <c r="K421" t="s">
        <v>1496</v>
      </c>
      <c r="L421" t="s">
        <v>1497</v>
      </c>
      <c r="M421" s="4">
        <v>45264</v>
      </c>
    </row>
    <row r="422" spans="1:13" x14ac:dyDescent="0.25">
      <c r="A422">
        <v>56330288</v>
      </c>
      <c r="B422" t="s">
        <v>1498</v>
      </c>
      <c r="C422" t="s">
        <v>22</v>
      </c>
      <c r="D422" t="s">
        <v>23</v>
      </c>
      <c r="E422" t="s">
        <v>3</v>
      </c>
      <c r="F422" t="s">
        <v>1499</v>
      </c>
      <c r="G422" s="2">
        <v>1</v>
      </c>
      <c r="H422" t="s">
        <v>5</v>
      </c>
      <c r="I422" t="s">
        <v>25</v>
      </c>
      <c r="J422" s="3">
        <v>1000</v>
      </c>
      <c r="K422" t="s">
        <v>1500</v>
      </c>
      <c r="L422" t="s">
        <v>1501</v>
      </c>
      <c r="M422" s="4">
        <v>45264</v>
      </c>
    </row>
    <row r="423" spans="1:13" x14ac:dyDescent="0.25">
      <c r="A423">
        <v>56330293</v>
      </c>
      <c r="B423" t="s">
        <v>1502</v>
      </c>
      <c r="C423" t="s">
        <v>22</v>
      </c>
      <c r="D423" t="s">
        <v>87</v>
      </c>
      <c r="E423" t="s">
        <v>3</v>
      </c>
      <c r="F423" t="s">
        <v>1503</v>
      </c>
      <c r="G423" s="2">
        <v>1</v>
      </c>
      <c r="H423" t="s">
        <v>32</v>
      </c>
      <c r="I423" t="s">
        <v>77</v>
      </c>
      <c r="J423" s="3">
        <v>68980</v>
      </c>
      <c r="K423" t="s">
        <v>22</v>
      </c>
      <c r="L423" t="s">
        <v>1504</v>
      </c>
      <c r="M423" s="4">
        <v>45273</v>
      </c>
    </row>
    <row r="424" spans="1:13" x14ac:dyDescent="0.25">
      <c r="A424">
        <v>56330299</v>
      </c>
      <c r="B424" t="s">
        <v>1505</v>
      </c>
      <c r="C424" t="s">
        <v>1506</v>
      </c>
      <c r="D424" t="s">
        <v>289</v>
      </c>
      <c r="E424" t="s">
        <v>3</v>
      </c>
      <c r="F424" t="s">
        <v>1507</v>
      </c>
      <c r="G424" s="2">
        <v>16000</v>
      </c>
      <c r="H424" t="s">
        <v>5</v>
      </c>
      <c r="I424" t="s">
        <v>25</v>
      </c>
      <c r="J424" s="3">
        <v>1424</v>
      </c>
      <c r="K424" t="s">
        <v>1508</v>
      </c>
      <c r="L424" t="s">
        <v>1509</v>
      </c>
      <c r="M424" s="4">
        <v>45261</v>
      </c>
    </row>
    <row r="425" spans="1:13" x14ac:dyDescent="0.25">
      <c r="A425">
        <v>56330302</v>
      </c>
      <c r="B425" t="s">
        <v>1510</v>
      </c>
      <c r="C425" t="s">
        <v>693</v>
      </c>
      <c r="D425" t="s">
        <v>30</v>
      </c>
      <c r="E425" t="s">
        <v>3</v>
      </c>
      <c r="F425" t="s">
        <v>1511</v>
      </c>
      <c r="G425" s="2">
        <v>1</v>
      </c>
      <c r="H425" t="s">
        <v>32</v>
      </c>
      <c r="I425" t="s">
        <v>33</v>
      </c>
      <c r="J425" s="3">
        <v>8002</v>
      </c>
      <c r="K425" t="s">
        <v>22</v>
      </c>
      <c r="L425" t="s">
        <v>1512</v>
      </c>
      <c r="M425" s="4">
        <v>45265</v>
      </c>
    </row>
    <row r="426" spans="1:13" x14ac:dyDescent="0.25">
      <c r="A426">
        <v>56330349</v>
      </c>
      <c r="B426" t="s">
        <v>1513</v>
      </c>
      <c r="C426" t="s">
        <v>1514</v>
      </c>
      <c r="D426" t="s">
        <v>96</v>
      </c>
      <c r="E426" t="s">
        <v>3</v>
      </c>
      <c r="F426" t="s">
        <v>1515</v>
      </c>
      <c r="G426" s="2">
        <v>1</v>
      </c>
      <c r="H426" t="s">
        <v>32</v>
      </c>
      <c r="I426" t="s">
        <v>77</v>
      </c>
      <c r="J426" s="3">
        <v>83920</v>
      </c>
      <c r="K426" t="s">
        <v>22</v>
      </c>
      <c r="L426" t="s">
        <v>1516</v>
      </c>
      <c r="M426" s="4">
        <v>45265</v>
      </c>
    </row>
    <row r="427" spans="1:13" x14ac:dyDescent="0.25">
      <c r="A427">
        <v>56330350</v>
      </c>
      <c r="B427" t="s">
        <v>1517</v>
      </c>
      <c r="C427" t="s">
        <v>22</v>
      </c>
      <c r="D427" t="s">
        <v>860</v>
      </c>
      <c r="E427" t="s">
        <v>3</v>
      </c>
      <c r="F427" t="s">
        <v>1518</v>
      </c>
      <c r="G427" s="2">
        <v>1</v>
      </c>
      <c r="H427" t="s">
        <v>32</v>
      </c>
      <c r="I427" t="s">
        <v>25</v>
      </c>
      <c r="J427" s="3">
        <v>0</v>
      </c>
      <c r="K427" t="s">
        <v>22</v>
      </c>
      <c r="L427" t="s">
        <v>22</v>
      </c>
      <c r="M427" s="4"/>
    </row>
    <row r="428" spans="1:13" x14ac:dyDescent="0.25">
      <c r="A428">
        <v>56330353</v>
      </c>
      <c r="B428" t="s">
        <v>1519</v>
      </c>
      <c r="C428" t="s">
        <v>226</v>
      </c>
      <c r="D428" t="s">
        <v>30</v>
      </c>
      <c r="E428" t="s">
        <v>3</v>
      </c>
      <c r="F428" t="s">
        <v>227</v>
      </c>
      <c r="G428" s="2">
        <v>3</v>
      </c>
      <c r="H428" t="s">
        <v>32</v>
      </c>
      <c r="I428" t="s">
        <v>77</v>
      </c>
      <c r="J428" s="3">
        <v>200155.74</v>
      </c>
      <c r="K428" t="s">
        <v>22</v>
      </c>
      <c r="L428" t="s">
        <v>1520</v>
      </c>
      <c r="M428" s="4">
        <v>45266</v>
      </c>
    </row>
    <row r="429" spans="1:13" x14ac:dyDescent="0.25">
      <c r="A429">
        <v>56330356</v>
      </c>
      <c r="B429" t="s">
        <v>1521</v>
      </c>
      <c r="C429" t="s">
        <v>312</v>
      </c>
      <c r="D429" t="s">
        <v>210</v>
      </c>
      <c r="E429" t="s">
        <v>3</v>
      </c>
      <c r="F429" t="s">
        <v>1522</v>
      </c>
      <c r="G429" s="2">
        <v>2000</v>
      </c>
      <c r="H429" t="s">
        <v>5</v>
      </c>
      <c r="I429" t="s">
        <v>6</v>
      </c>
      <c r="J429" s="3">
        <v>20</v>
      </c>
      <c r="K429" t="s">
        <v>1523</v>
      </c>
      <c r="L429" t="s">
        <v>1524</v>
      </c>
      <c r="M429" s="4">
        <v>45261</v>
      </c>
    </row>
    <row r="430" spans="1:13" x14ac:dyDescent="0.25">
      <c r="A430">
        <v>56332236</v>
      </c>
      <c r="B430" t="s">
        <v>1525</v>
      </c>
      <c r="C430" t="s">
        <v>22</v>
      </c>
      <c r="D430" t="s">
        <v>860</v>
      </c>
      <c r="E430" t="s">
        <v>3</v>
      </c>
      <c r="F430" t="s">
        <v>1526</v>
      </c>
      <c r="G430" s="2">
        <v>1</v>
      </c>
      <c r="H430" t="s">
        <v>5</v>
      </c>
      <c r="I430" t="s">
        <v>25</v>
      </c>
      <c r="J430" s="3">
        <v>6600</v>
      </c>
      <c r="K430" t="s">
        <v>1527</v>
      </c>
      <c r="L430" t="s">
        <v>1528</v>
      </c>
      <c r="M430" s="4">
        <v>45264</v>
      </c>
    </row>
    <row r="431" spans="1:13" x14ac:dyDescent="0.25">
      <c r="A431">
        <v>56332244</v>
      </c>
      <c r="B431" t="s">
        <v>1529</v>
      </c>
      <c r="C431" t="s">
        <v>147</v>
      </c>
      <c r="D431" t="s">
        <v>148</v>
      </c>
      <c r="E431" t="s">
        <v>3</v>
      </c>
      <c r="F431" t="s">
        <v>1530</v>
      </c>
      <c r="G431" s="2">
        <v>50</v>
      </c>
      <c r="H431" t="s">
        <v>32</v>
      </c>
      <c r="I431" t="s">
        <v>117</v>
      </c>
      <c r="J431" s="3">
        <v>9772</v>
      </c>
      <c r="K431" t="s">
        <v>22</v>
      </c>
      <c r="L431" t="s">
        <v>1531</v>
      </c>
      <c r="M431" s="4">
        <v>45261</v>
      </c>
    </row>
    <row r="432" spans="1:13" x14ac:dyDescent="0.25">
      <c r="A432">
        <v>56332245</v>
      </c>
      <c r="B432" t="s">
        <v>1532</v>
      </c>
      <c r="C432" t="s">
        <v>147</v>
      </c>
      <c r="D432" t="s">
        <v>30</v>
      </c>
      <c r="E432" t="s">
        <v>3</v>
      </c>
      <c r="F432" t="s">
        <v>1533</v>
      </c>
      <c r="G432" s="2">
        <v>7</v>
      </c>
      <c r="H432" t="s">
        <v>32</v>
      </c>
      <c r="I432" t="s">
        <v>117</v>
      </c>
      <c r="J432" s="3">
        <v>1935.01</v>
      </c>
      <c r="K432" t="s">
        <v>22</v>
      </c>
      <c r="L432" t="s">
        <v>1534</v>
      </c>
      <c r="M432" s="4">
        <v>45261</v>
      </c>
    </row>
    <row r="433" spans="1:13" x14ac:dyDescent="0.25">
      <c r="A433">
        <v>56332281</v>
      </c>
      <c r="B433" t="s">
        <v>1535</v>
      </c>
      <c r="C433" t="s">
        <v>1536</v>
      </c>
      <c r="D433" t="s">
        <v>2</v>
      </c>
      <c r="E433" t="s">
        <v>3</v>
      </c>
      <c r="F433" t="s">
        <v>1537</v>
      </c>
      <c r="G433" s="2">
        <v>1</v>
      </c>
      <c r="H433" t="s">
        <v>32</v>
      </c>
      <c r="I433" t="s">
        <v>77</v>
      </c>
      <c r="J433" s="3">
        <v>110000</v>
      </c>
      <c r="K433" t="s">
        <v>22</v>
      </c>
      <c r="L433" t="s">
        <v>1538</v>
      </c>
      <c r="M433" s="4">
        <v>45271</v>
      </c>
    </row>
    <row r="434" spans="1:13" x14ac:dyDescent="0.25">
      <c r="A434">
        <v>56332282</v>
      </c>
      <c r="B434" t="s">
        <v>1539</v>
      </c>
      <c r="C434" t="s">
        <v>1062</v>
      </c>
      <c r="D434" t="s">
        <v>37</v>
      </c>
      <c r="E434" t="s">
        <v>3</v>
      </c>
      <c r="F434" t="s">
        <v>1540</v>
      </c>
      <c r="G434" s="2">
        <v>1</v>
      </c>
      <c r="H434" t="s">
        <v>32</v>
      </c>
      <c r="I434" t="s">
        <v>77</v>
      </c>
      <c r="J434" s="3">
        <v>130309</v>
      </c>
      <c r="K434" t="s">
        <v>22</v>
      </c>
      <c r="L434" t="s">
        <v>1541</v>
      </c>
      <c r="M434" s="4">
        <v>45272</v>
      </c>
    </row>
    <row r="435" spans="1:13" x14ac:dyDescent="0.25">
      <c r="A435">
        <v>56332283</v>
      </c>
      <c r="B435" t="s">
        <v>1542</v>
      </c>
      <c r="C435" t="s">
        <v>374</v>
      </c>
      <c r="D435" t="s">
        <v>51</v>
      </c>
      <c r="E435" t="s">
        <v>3</v>
      </c>
      <c r="F435" t="s">
        <v>1543</v>
      </c>
      <c r="G435" s="2">
        <v>2200</v>
      </c>
      <c r="H435" t="s">
        <v>32</v>
      </c>
      <c r="I435" t="s">
        <v>6</v>
      </c>
      <c r="J435" s="3">
        <v>468.38</v>
      </c>
      <c r="K435" t="s">
        <v>22</v>
      </c>
      <c r="L435" t="s">
        <v>1544</v>
      </c>
      <c r="M435" s="4">
        <v>45264</v>
      </c>
    </row>
    <row r="436" spans="1:13" x14ac:dyDescent="0.25">
      <c r="A436">
        <v>56332284</v>
      </c>
      <c r="B436" t="s">
        <v>1545</v>
      </c>
      <c r="C436" t="s">
        <v>1546</v>
      </c>
      <c r="D436" t="s">
        <v>253</v>
      </c>
      <c r="E436" t="s">
        <v>3</v>
      </c>
      <c r="F436" t="s">
        <v>1547</v>
      </c>
      <c r="G436" s="2">
        <v>1</v>
      </c>
      <c r="H436" t="s">
        <v>32</v>
      </c>
      <c r="I436" t="s">
        <v>6</v>
      </c>
      <c r="J436" s="3">
        <v>1500</v>
      </c>
      <c r="K436" t="s">
        <v>22</v>
      </c>
      <c r="L436" t="s">
        <v>1548</v>
      </c>
      <c r="M436" s="4">
        <v>45264</v>
      </c>
    </row>
    <row r="437" spans="1:13" x14ac:dyDescent="0.25">
      <c r="A437">
        <v>56332293</v>
      </c>
      <c r="B437" t="s">
        <v>1549</v>
      </c>
      <c r="C437" t="s">
        <v>347</v>
      </c>
      <c r="D437" t="s">
        <v>148</v>
      </c>
      <c r="E437" t="s">
        <v>3</v>
      </c>
      <c r="F437" t="s">
        <v>1550</v>
      </c>
      <c r="G437" s="2">
        <v>1</v>
      </c>
      <c r="H437" t="s">
        <v>32</v>
      </c>
      <c r="I437" t="s">
        <v>117</v>
      </c>
      <c r="J437" s="3">
        <v>1080</v>
      </c>
      <c r="K437" t="s">
        <v>22</v>
      </c>
      <c r="L437" t="s">
        <v>1551</v>
      </c>
      <c r="M437" s="4">
        <v>45261</v>
      </c>
    </row>
    <row r="438" spans="1:13" x14ac:dyDescent="0.25">
      <c r="A438">
        <v>56332295</v>
      </c>
      <c r="B438" t="s">
        <v>1552</v>
      </c>
      <c r="C438" t="s">
        <v>11</v>
      </c>
      <c r="D438" t="s">
        <v>2</v>
      </c>
      <c r="E438" t="s">
        <v>3</v>
      </c>
      <c r="F438" t="s">
        <v>1477</v>
      </c>
      <c r="G438" s="2">
        <v>3525</v>
      </c>
      <c r="H438" t="s">
        <v>13</v>
      </c>
      <c r="I438" t="s">
        <v>6</v>
      </c>
      <c r="J438" s="3">
        <v>11039.14</v>
      </c>
      <c r="K438" t="s">
        <v>22</v>
      </c>
      <c r="L438" t="s">
        <v>1553</v>
      </c>
      <c r="M438" s="4">
        <v>45264</v>
      </c>
    </row>
    <row r="439" spans="1:13" x14ac:dyDescent="0.25">
      <c r="A439">
        <v>56332296</v>
      </c>
      <c r="B439" t="s">
        <v>1554</v>
      </c>
      <c r="C439" t="s">
        <v>147</v>
      </c>
      <c r="D439" t="s">
        <v>148</v>
      </c>
      <c r="E439" t="s">
        <v>3</v>
      </c>
      <c r="F439" t="s">
        <v>1555</v>
      </c>
      <c r="G439" s="2">
        <v>1</v>
      </c>
      <c r="H439" t="s">
        <v>32</v>
      </c>
      <c r="I439" t="s">
        <v>117</v>
      </c>
      <c r="J439" s="3">
        <v>17184.73</v>
      </c>
      <c r="K439" t="s">
        <v>22</v>
      </c>
      <c r="L439" t="s">
        <v>1556</v>
      </c>
      <c r="M439" s="4">
        <v>45266</v>
      </c>
    </row>
    <row r="440" spans="1:13" x14ac:dyDescent="0.25">
      <c r="A440">
        <v>56332297</v>
      </c>
      <c r="B440" t="s">
        <v>1557</v>
      </c>
      <c r="C440" t="s">
        <v>1558</v>
      </c>
      <c r="D440" t="s">
        <v>148</v>
      </c>
      <c r="E440" t="s">
        <v>3</v>
      </c>
      <c r="F440" t="s">
        <v>1559</v>
      </c>
      <c r="G440" s="2">
        <v>1</v>
      </c>
      <c r="H440" t="s">
        <v>1560</v>
      </c>
      <c r="I440" t="s">
        <v>117</v>
      </c>
      <c r="J440" s="3">
        <v>22500</v>
      </c>
      <c r="K440" t="s">
        <v>22</v>
      </c>
      <c r="L440" t="s">
        <v>1561</v>
      </c>
      <c r="M440" s="4">
        <v>45294</v>
      </c>
    </row>
    <row r="441" spans="1:13" x14ac:dyDescent="0.25">
      <c r="A441">
        <v>56332298</v>
      </c>
      <c r="B441" t="s">
        <v>1562</v>
      </c>
      <c r="C441" t="s">
        <v>623</v>
      </c>
      <c r="D441" t="s">
        <v>30</v>
      </c>
      <c r="E441" t="s">
        <v>3</v>
      </c>
      <c r="F441" t="s">
        <v>1563</v>
      </c>
      <c r="G441" s="2">
        <v>6</v>
      </c>
      <c r="H441" t="s">
        <v>32</v>
      </c>
      <c r="I441" t="s">
        <v>117</v>
      </c>
      <c r="J441" s="3">
        <v>17856</v>
      </c>
      <c r="K441" t="s">
        <v>22</v>
      </c>
      <c r="L441" t="s">
        <v>1564</v>
      </c>
      <c r="M441" s="4">
        <v>45266</v>
      </c>
    </row>
    <row r="442" spans="1:13" x14ac:dyDescent="0.25">
      <c r="A442">
        <v>56389178</v>
      </c>
      <c r="B442" t="s">
        <v>1565</v>
      </c>
      <c r="C442" t="s">
        <v>1119</v>
      </c>
      <c r="D442" t="s">
        <v>51</v>
      </c>
      <c r="E442" t="s">
        <v>3</v>
      </c>
      <c r="F442" t="s">
        <v>1566</v>
      </c>
      <c r="G442" s="2">
        <v>100</v>
      </c>
      <c r="H442" t="s">
        <v>5</v>
      </c>
      <c r="I442" t="s">
        <v>6</v>
      </c>
      <c r="J442" s="3">
        <v>29.04</v>
      </c>
      <c r="K442" t="s">
        <v>22</v>
      </c>
      <c r="L442" t="s">
        <v>1567</v>
      </c>
      <c r="M442" s="4">
        <v>45265</v>
      </c>
    </row>
    <row r="443" spans="1:13" x14ac:dyDescent="0.25">
      <c r="A443">
        <v>56389179</v>
      </c>
      <c r="B443" t="s">
        <v>1568</v>
      </c>
      <c r="C443" t="s">
        <v>322</v>
      </c>
      <c r="D443" t="s">
        <v>2</v>
      </c>
      <c r="E443" t="s">
        <v>3</v>
      </c>
      <c r="F443" t="s">
        <v>1401</v>
      </c>
      <c r="G443" s="2">
        <v>350</v>
      </c>
      <c r="H443" t="s">
        <v>32</v>
      </c>
      <c r="I443" t="s">
        <v>25</v>
      </c>
      <c r="J443" s="3">
        <v>966</v>
      </c>
      <c r="K443" t="s">
        <v>22</v>
      </c>
      <c r="L443" t="s">
        <v>1569</v>
      </c>
      <c r="M443" s="4">
        <v>45265</v>
      </c>
    </row>
    <row r="444" spans="1:13" x14ac:dyDescent="0.25">
      <c r="A444">
        <v>56389196</v>
      </c>
      <c r="B444" t="s">
        <v>1570</v>
      </c>
      <c r="C444" t="s">
        <v>1571</v>
      </c>
      <c r="D444" t="s">
        <v>148</v>
      </c>
      <c r="E444" t="s">
        <v>3</v>
      </c>
      <c r="F444" t="s">
        <v>1572</v>
      </c>
      <c r="G444" s="2">
        <v>1</v>
      </c>
      <c r="H444" t="s">
        <v>32</v>
      </c>
      <c r="I444" t="s">
        <v>117</v>
      </c>
      <c r="J444" s="3">
        <v>5000</v>
      </c>
      <c r="K444" t="s">
        <v>22</v>
      </c>
      <c r="L444" t="s">
        <v>1573</v>
      </c>
      <c r="M444" s="4">
        <v>45272</v>
      </c>
    </row>
    <row r="445" spans="1:13" x14ac:dyDescent="0.25">
      <c r="A445">
        <v>56389204</v>
      </c>
      <c r="B445" t="s">
        <v>1574</v>
      </c>
      <c r="C445" t="s">
        <v>163</v>
      </c>
      <c r="D445" t="s">
        <v>30</v>
      </c>
      <c r="E445" t="s">
        <v>3</v>
      </c>
      <c r="F445" t="s">
        <v>1575</v>
      </c>
      <c r="G445" s="2">
        <v>1</v>
      </c>
      <c r="H445" t="s">
        <v>32</v>
      </c>
      <c r="I445" t="s">
        <v>117</v>
      </c>
      <c r="J445" s="3">
        <v>2026</v>
      </c>
      <c r="K445" t="s">
        <v>22</v>
      </c>
      <c r="L445" t="s">
        <v>1576</v>
      </c>
      <c r="M445" s="4">
        <v>45264</v>
      </c>
    </row>
    <row r="446" spans="1:13" x14ac:dyDescent="0.25">
      <c r="A446">
        <v>56389273</v>
      </c>
      <c r="B446" t="s">
        <v>1577</v>
      </c>
      <c r="C446" t="s">
        <v>660</v>
      </c>
      <c r="D446" t="s">
        <v>522</v>
      </c>
      <c r="E446" t="s">
        <v>3</v>
      </c>
      <c r="F446" t="s">
        <v>1578</v>
      </c>
      <c r="G446" s="2">
        <v>1</v>
      </c>
      <c r="H446" t="s">
        <v>5</v>
      </c>
      <c r="I446" t="s">
        <v>25</v>
      </c>
      <c r="J446" s="3">
        <v>800</v>
      </c>
      <c r="K446" t="s">
        <v>1579</v>
      </c>
      <c r="L446" t="s">
        <v>1580</v>
      </c>
      <c r="M446" s="4">
        <v>45264</v>
      </c>
    </row>
    <row r="447" spans="1:13" x14ac:dyDescent="0.25">
      <c r="A447">
        <v>56389274</v>
      </c>
      <c r="B447" t="s">
        <v>1581</v>
      </c>
      <c r="C447" t="s">
        <v>22</v>
      </c>
      <c r="D447" t="s">
        <v>1582</v>
      </c>
      <c r="E447" t="s">
        <v>3</v>
      </c>
      <c r="F447" t="s">
        <v>1526</v>
      </c>
      <c r="G447" s="2">
        <v>1</v>
      </c>
      <c r="H447" t="s">
        <v>5</v>
      </c>
      <c r="I447" t="s">
        <v>25</v>
      </c>
      <c r="J447" s="3">
        <v>1500</v>
      </c>
      <c r="K447" t="s">
        <v>1583</v>
      </c>
      <c r="L447" t="s">
        <v>1584</v>
      </c>
      <c r="M447" s="4">
        <v>45265</v>
      </c>
    </row>
    <row r="448" spans="1:13" x14ac:dyDescent="0.25">
      <c r="A448">
        <v>56389275</v>
      </c>
      <c r="B448" t="s">
        <v>1585</v>
      </c>
      <c r="C448" t="s">
        <v>83</v>
      </c>
      <c r="D448" t="s">
        <v>87</v>
      </c>
      <c r="E448" t="s">
        <v>3</v>
      </c>
      <c r="F448" t="s">
        <v>1586</v>
      </c>
      <c r="G448" s="2">
        <v>1</v>
      </c>
      <c r="H448" t="s">
        <v>32</v>
      </c>
      <c r="I448" t="s">
        <v>25</v>
      </c>
      <c r="J448" s="3">
        <v>86500</v>
      </c>
      <c r="K448" t="s">
        <v>22</v>
      </c>
      <c r="L448" t="s">
        <v>1587</v>
      </c>
      <c r="M448" s="4">
        <v>45266</v>
      </c>
    </row>
    <row r="449" spans="1:13" x14ac:dyDescent="0.25">
      <c r="A449">
        <v>56389276</v>
      </c>
      <c r="B449" t="s">
        <v>1588</v>
      </c>
      <c r="C449" t="s">
        <v>370</v>
      </c>
      <c r="D449" t="s">
        <v>23</v>
      </c>
      <c r="E449" t="s">
        <v>3</v>
      </c>
      <c r="F449" t="s">
        <v>1589</v>
      </c>
      <c r="G449" s="2">
        <v>1</v>
      </c>
      <c r="H449" t="s">
        <v>32</v>
      </c>
      <c r="I449" t="s">
        <v>25</v>
      </c>
      <c r="J449" s="3">
        <v>3400</v>
      </c>
      <c r="K449" t="s">
        <v>22</v>
      </c>
      <c r="L449" t="s">
        <v>1590</v>
      </c>
      <c r="M449" s="4">
        <v>45265</v>
      </c>
    </row>
    <row r="450" spans="1:13" x14ac:dyDescent="0.25">
      <c r="A450">
        <v>56389277</v>
      </c>
      <c r="B450" t="s">
        <v>1591</v>
      </c>
      <c r="C450" t="s">
        <v>390</v>
      </c>
      <c r="D450" t="s">
        <v>51</v>
      </c>
      <c r="E450" t="s">
        <v>3</v>
      </c>
      <c r="F450" t="s">
        <v>1592</v>
      </c>
      <c r="G450" s="2">
        <v>1</v>
      </c>
      <c r="H450" t="s">
        <v>32</v>
      </c>
      <c r="I450" t="s">
        <v>25</v>
      </c>
      <c r="J450" s="3">
        <v>400</v>
      </c>
      <c r="K450" t="s">
        <v>22</v>
      </c>
      <c r="L450" t="s">
        <v>1593</v>
      </c>
      <c r="M450" s="4">
        <v>45265</v>
      </c>
    </row>
    <row r="451" spans="1:13" x14ac:dyDescent="0.25">
      <c r="A451">
        <v>56389278</v>
      </c>
      <c r="B451" t="s">
        <v>1594</v>
      </c>
      <c r="C451" t="s">
        <v>1595</v>
      </c>
      <c r="D451" t="s">
        <v>51</v>
      </c>
      <c r="E451" t="s">
        <v>3</v>
      </c>
      <c r="F451" t="s">
        <v>1596</v>
      </c>
      <c r="G451" s="2">
        <v>120</v>
      </c>
      <c r="H451" t="s">
        <v>5</v>
      </c>
      <c r="I451" t="s">
        <v>25</v>
      </c>
      <c r="J451" s="3">
        <v>340.13</v>
      </c>
      <c r="K451" t="s">
        <v>22</v>
      </c>
      <c r="L451" t="s">
        <v>1597</v>
      </c>
      <c r="M451" s="4">
        <v>45266</v>
      </c>
    </row>
    <row r="452" spans="1:13" x14ac:dyDescent="0.25">
      <c r="A452">
        <v>56389279</v>
      </c>
      <c r="B452" t="s">
        <v>1598</v>
      </c>
      <c r="C452" t="s">
        <v>1599</v>
      </c>
      <c r="D452" t="s">
        <v>51</v>
      </c>
      <c r="E452" t="s">
        <v>3</v>
      </c>
      <c r="F452" t="s">
        <v>1600</v>
      </c>
      <c r="G452" s="2">
        <v>175</v>
      </c>
      <c r="H452" t="s">
        <v>5</v>
      </c>
      <c r="I452" t="s">
        <v>25</v>
      </c>
      <c r="J452" s="3">
        <v>378.25</v>
      </c>
      <c r="K452" t="s">
        <v>22</v>
      </c>
      <c r="L452" t="s">
        <v>1601</v>
      </c>
      <c r="M452" s="4">
        <v>45265</v>
      </c>
    </row>
    <row r="453" spans="1:13" x14ac:dyDescent="0.25">
      <c r="A453">
        <v>56389300</v>
      </c>
      <c r="B453" t="s">
        <v>1602</v>
      </c>
      <c r="C453" t="s">
        <v>1603</v>
      </c>
      <c r="D453" t="s">
        <v>210</v>
      </c>
      <c r="E453" t="s">
        <v>3</v>
      </c>
      <c r="F453" t="s">
        <v>1604</v>
      </c>
      <c r="G453" s="2">
        <v>300</v>
      </c>
      <c r="H453" t="s">
        <v>5</v>
      </c>
      <c r="I453" t="s">
        <v>6</v>
      </c>
      <c r="J453" s="3">
        <v>0</v>
      </c>
      <c r="K453" t="s">
        <v>1605</v>
      </c>
      <c r="L453" t="s">
        <v>22</v>
      </c>
      <c r="M453" s="4"/>
    </row>
    <row r="454" spans="1:13" x14ac:dyDescent="0.25">
      <c r="A454">
        <v>56389321</v>
      </c>
      <c r="B454" t="s">
        <v>1606</v>
      </c>
      <c r="C454" t="s">
        <v>276</v>
      </c>
      <c r="D454" t="s">
        <v>215</v>
      </c>
      <c r="E454" t="s">
        <v>3</v>
      </c>
      <c r="F454" t="s">
        <v>1607</v>
      </c>
      <c r="G454" s="2">
        <v>1</v>
      </c>
      <c r="H454" t="s">
        <v>32</v>
      </c>
      <c r="I454" t="s">
        <v>6</v>
      </c>
      <c r="J454" s="3">
        <v>1104.8499999999999</v>
      </c>
      <c r="K454" t="s">
        <v>22</v>
      </c>
      <c r="L454" t="s">
        <v>1608</v>
      </c>
      <c r="M454" s="4">
        <v>45265</v>
      </c>
    </row>
    <row r="455" spans="1:13" x14ac:dyDescent="0.25">
      <c r="A455">
        <v>56390195</v>
      </c>
      <c r="B455" t="s">
        <v>744</v>
      </c>
      <c r="C455" t="s">
        <v>22</v>
      </c>
      <c r="D455" t="s">
        <v>237</v>
      </c>
      <c r="E455" t="s">
        <v>3</v>
      </c>
      <c r="F455" t="s">
        <v>1165</v>
      </c>
      <c r="G455" s="2">
        <v>1</v>
      </c>
      <c r="H455" t="s">
        <v>5</v>
      </c>
      <c r="I455" t="s">
        <v>33</v>
      </c>
      <c r="J455" s="3">
        <v>0</v>
      </c>
      <c r="K455" t="s">
        <v>1166</v>
      </c>
      <c r="L455" t="s">
        <v>1609</v>
      </c>
      <c r="M455" s="4">
        <v>45265</v>
      </c>
    </row>
    <row r="456" spans="1:13" x14ac:dyDescent="0.25">
      <c r="A456">
        <v>56390663</v>
      </c>
      <c r="B456" t="s">
        <v>1610</v>
      </c>
      <c r="C456" t="s">
        <v>1048</v>
      </c>
      <c r="D456" t="s">
        <v>51</v>
      </c>
      <c r="E456" t="s">
        <v>3</v>
      </c>
      <c r="F456" t="s">
        <v>1611</v>
      </c>
      <c r="G456" s="2">
        <v>8</v>
      </c>
      <c r="H456" t="s">
        <v>32</v>
      </c>
      <c r="I456" t="s">
        <v>6</v>
      </c>
      <c r="J456" s="3">
        <v>680</v>
      </c>
      <c r="K456" t="s">
        <v>22</v>
      </c>
      <c r="L456" t="s">
        <v>1612</v>
      </c>
      <c r="M456" s="4">
        <v>45266</v>
      </c>
    </row>
    <row r="457" spans="1:13" x14ac:dyDescent="0.25">
      <c r="A457">
        <v>56390666</v>
      </c>
      <c r="B457" t="s">
        <v>1613</v>
      </c>
      <c r="C457" t="s">
        <v>322</v>
      </c>
      <c r="D457" t="s">
        <v>2</v>
      </c>
      <c r="E457" t="s">
        <v>3</v>
      </c>
      <c r="F457" t="s">
        <v>1614</v>
      </c>
      <c r="G457" s="2">
        <v>960</v>
      </c>
      <c r="H457" t="s">
        <v>32</v>
      </c>
      <c r="I457" t="s">
        <v>25</v>
      </c>
      <c r="J457" s="3">
        <v>26880</v>
      </c>
      <c r="K457" t="s">
        <v>22</v>
      </c>
      <c r="L457" t="s">
        <v>1615</v>
      </c>
      <c r="M457" s="4">
        <v>45265</v>
      </c>
    </row>
    <row r="458" spans="1:13" x14ac:dyDescent="0.25">
      <c r="A458">
        <v>56390668</v>
      </c>
      <c r="B458" t="s">
        <v>1616</v>
      </c>
      <c r="C458" t="s">
        <v>435</v>
      </c>
      <c r="D458" t="s">
        <v>51</v>
      </c>
      <c r="E458" t="s">
        <v>3</v>
      </c>
      <c r="F458" t="s">
        <v>1617</v>
      </c>
      <c r="G458" s="2">
        <v>1</v>
      </c>
      <c r="H458" t="s">
        <v>32</v>
      </c>
      <c r="I458" t="s">
        <v>25</v>
      </c>
      <c r="J458" s="3">
        <v>5900</v>
      </c>
      <c r="K458" t="s">
        <v>22</v>
      </c>
      <c r="L458" t="s">
        <v>1618</v>
      </c>
      <c r="M458" s="4">
        <v>45265</v>
      </c>
    </row>
    <row r="459" spans="1:13" x14ac:dyDescent="0.25">
      <c r="A459">
        <v>56390669</v>
      </c>
      <c r="B459" t="s">
        <v>1619</v>
      </c>
      <c r="C459" t="s">
        <v>435</v>
      </c>
      <c r="D459" t="s">
        <v>2</v>
      </c>
      <c r="E459" t="s">
        <v>3</v>
      </c>
      <c r="F459" t="s">
        <v>1620</v>
      </c>
      <c r="G459" s="2">
        <v>1</v>
      </c>
      <c r="H459" t="s">
        <v>32</v>
      </c>
      <c r="I459" t="s">
        <v>25</v>
      </c>
      <c r="J459" s="3">
        <v>10500</v>
      </c>
      <c r="K459" t="s">
        <v>22</v>
      </c>
      <c r="L459" t="s">
        <v>1621</v>
      </c>
      <c r="M459" s="4">
        <v>45266</v>
      </c>
    </row>
    <row r="460" spans="1:13" x14ac:dyDescent="0.25">
      <c r="A460">
        <v>56392132</v>
      </c>
      <c r="B460" t="s">
        <v>1622</v>
      </c>
      <c r="C460" t="s">
        <v>424</v>
      </c>
      <c r="D460" t="s">
        <v>342</v>
      </c>
      <c r="E460" t="s">
        <v>3</v>
      </c>
      <c r="F460" t="s">
        <v>1623</v>
      </c>
      <c r="G460" s="2">
        <v>1</v>
      </c>
      <c r="H460" t="s">
        <v>5</v>
      </c>
      <c r="I460" t="s">
        <v>6</v>
      </c>
      <c r="J460" s="3">
        <v>3672</v>
      </c>
      <c r="K460" t="s">
        <v>1624</v>
      </c>
      <c r="L460" t="s">
        <v>1625</v>
      </c>
      <c r="M460" s="4">
        <v>45267</v>
      </c>
    </row>
    <row r="461" spans="1:13" x14ac:dyDescent="0.25">
      <c r="A461">
        <v>56392133</v>
      </c>
      <c r="B461" t="s">
        <v>1626</v>
      </c>
      <c r="C461" t="s">
        <v>341</v>
      </c>
      <c r="D461" t="s">
        <v>342</v>
      </c>
      <c r="E461" t="s">
        <v>3</v>
      </c>
      <c r="F461" t="s">
        <v>1627</v>
      </c>
      <c r="G461" s="2">
        <v>1</v>
      </c>
      <c r="H461" t="s">
        <v>5</v>
      </c>
      <c r="I461" t="s">
        <v>6</v>
      </c>
      <c r="J461" s="3">
        <v>1000</v>
      </c>
      <c r="K461" t="s">
        <v>1628</v>
      </c>
      <c r="L461" t="s">
        <v>1629</v>
      </c>
      <c r="M461" s="4">
        <v>45267</v>
      </c>
    </row>
    <row r="462" spans="1:13" x14ac:dyDescent="0.25">
      <c r="A462">
        <v>56392160</v>
      </c>
      <c r="B462" t="s">
        <v>1630</v>
      </c>
      <c r="C462" t="s">
        <v>1631</v>
      </c>
      <c r="D462" t="s">
        <v>61</v>
      </c>
      <c r="E462" t="s">
        <v>3</v>
      </c>
      <c r="F462" t="s">
        <v>1632</v>
      </c>
      <c r="G462" s="2">
        <v>1</v>
      </c>
      <c r="H462" t="s">
        <v>32</v>
      </c>
      <c r="I462" t="s">
        <v>6</v>
      </c>
      <c r="J462" s="3">
        <v>368</v>
      </c>
      <c r="K462" t="s">
        <v>22</v>
      </c>
      <c r="L462" t="s">
        <v>1633</v>
      </c>
      <c r="M462" s="4">
        <v>45266</v>
      </c>
    </row>
    <row r="463" spans="1:13" x14ac:dyDescent="0.25">
      <c r="A463">
        <v>56392161</v>
      </c>
      <c r="B463" t="s">
        <v>1634</v>
      </c>
      <c r="C463" t="s">
        <v>65</v>
      </c>
      <c r="D463" t="s">
        <v>61</v>
      </c>
      <c r="E463" t="s">
        <v>3</v>
      </c>
      <c r="F463" t="s">
        <v>1635</v>
      </c>
      <c r="G463" s="2">
        <v>1</v>
      </c>
      <c r="H463" t="s">
        <v>32</v>
      </c>
      <c r="I463" t="s">
        <v>6</v>
      </c>
      <c r="J463" s="3">
        <v>1500</v>
      </c>
      <c r="K463" t="s">
        <v>22</v>
      </c>
      <c r="L463" t="s">
        <v>1636</v>
      </c>
      <c r="M463" s="4">
        <v>45267</v>
      </c>
    </row>
    <row r="464" spans="1:13" x14ac:dyDescent="0.25">
      <c r="A464">
        <v>56392162</v>
      </c>
      <c r="B464" t="s">
        <v>1637</v>
      </c>
      <c r="C464" t="s">
        <v>65</v>
      </c>
      <c r="D464" t="s">
        <v>61</v>
      </c>
      <c r="E464" t="s">
        <v>3</v>
      </c>
      <c r="F464" t="s">
        <v>1638</v>
      </c>
      <c r="G464" s="2">
        <v>1</v>
      </c>
      <c r="H464" t="s">
        <v>32</v>
      </c>
      <c r="I464" t="s">
        <v>6</v>
      </c>
      <c r="J464" s="3">
        <v>1500</v>
      </c>
      <c r="K464" t="s">
        <v>22</v>
      </c>
      <c r="L464" t="s">
        <v>1639</v>
      </c>
      <c r="M464" s="4">
        <v>45267</v>
      </c>
    </row>
    <row r="465" spans="1:13" x14ac:dyDescent="0.25">
      <c r="A465">
        <v>56392684</v>
      </c>
      <c r="B465" t="s">
        <v>1640</v>
      </c>
      <c r="C465" t="s">
        <v>623</v>
      </c>
      <c r="D465" t="s">
        <v>30</v>
      </c>
      <c r="E465" t="s">
        <v>3</v>
      </c>
      <c r="F465" t="s">
        <v>1641</v>
      </c>
      <c r="G465" s="2">
        <v>2</v>
      </c>
      <c r="H465" t="s">
        <v>32</v>
      </c>
      <c r="I465" t="s">
        <v>117</v>
      </c>
      <c r="J465" s="3">
        <v>744</v>
      </c>
      <c r="K465" t="s">
        <v>22</v>
      </c>
      <c r="L465" t="s">
        <v>1642</v>
      </c>
      <c r="M465" s="4">
        <v>45267</v>
      </c>
    </row>
    <row r="466" spans="1:13" x14ac:dyDescent="0.25">
      <c r="A466">
        <v>56392685</v>
      </c>
      <c r="B466" t="s">
        <v>1643</v>
      </c>
      <c r="C466" t="s">
        <v>1644</v>
      </c>
      <c r="D466" t="s">
        <v>210</v>
      </c>
      <c r="E466" t="s">
        <v>3</v>
      </c>
      <c r="F466" t="s">
        <v>1645</v>
      </c>
      <c r="G466" s="2">
        <v>1</v>
      </c>
      <c r="H466" t="s">
        <v>32</v>
      </c>
      <c r="I466" t="s">
        <v>117</v>
      </c>
      <c r="J466" s="3">
        <v>35400</v>
      </c>
      <c r="K466" t="s">
        <v>22</v>
      </c>
      <c r="L466" t="s">
        <v>1646</v>
      </c>
      <c r="M466" s="4">
        <v>45267</v>
      </c>
    </row>
    <row r="467" spans="1:13" x14ac:dyDescent="0.25">
      <c r="A467">
        <v>56392696</v>
      </c>
      <c r="B467" t="s">
        <v>1647</v>
      </c>
      <c r="C467" t="s">
        <v>452</v>
      </c>
      <c r="D467" t="s">
        <v>210</v>
      </c>
      <c r="E467" t="s">
        <v>3</v>
      </c>
      <c r="F467" t="s">
        <v>453</v>
      </c>
      <c r="G467" s="2">
        <v>2</v>
      </c>
      <c r="H467" t="s">
        <v>32</v>
      </c>
      <c r="I467" t="s">
        <v>117</v>
      </c>
      <c r="J467" s="3">
        <v>47146.28</v>
      </c>
      <c r="K467" t="s">
        <v>22</v>
      </c>
      <c r="L467" t="s">
        <v>1648</v>
      </c>
      <c r="M467" s="4">
        <v>45266</v>
      </c>
    </row>
    <row r="468" spans="1:13" x14ac:dyDescent="0.25">
      <c r="A468">
        <v>56392697</v>
      </c>
      <c r="B468" t="s">
        <v>1649</v>
      </c>
      <c r="C468" t="s">
        <v>474</v>
      </c>
      <c r="D468" t="s">
        <v>245</v>
      </c>
      <c r="E468" t="s">
        <v>3</v>
      </c>
      <c r="F468" t="s">
        <v>1650</v>
      </c>
      <c r="G468" s="2">
        <v>1</v>
      </c>
      <c r="H468" t="s">
        <v>32</v>
      </c>
      <c r="I468" t="s">
        <v>117</v>
      </c>
      <c r="J468" s="3">
        <v>2686.2</v>
      </c>
      <c r="K468" t="s">
        <v>22</v>
      </c>
      <c r="L468" t="s">
        <v>1651</v>
      </c>
      <c r="M468" s="4">
        <v>45266</v>
      </c>
    </row>
    <row r="469" spans="1:13" x14ac:dyDescent="0.25">
      <c r="A469">
        <v>56392699</v>
      </c>
      <c r="B469" t="s">
        <v>1652</v>
      </c>
      <c r="C469" t="s">
        <v>424</v>
      </c>
      <c r="D469" t="s">
        <v>46</v>
      </c>
      <c r="E469" t="s">
        <v>3</v>
      </c>
      <c r="F469" t="s">
        <v>1653</v>
      </c>
      <c r="G469" s="2">
        <v>1</v>
      </c>
      <c r="H469" t="s">
        <v>5</v>
      </c>
      <c r="I469" t="s">
        <v>25</v>
      </c>
      <c r="J469" s="3">
        <v>1075</v>
      </c>
      <c r="K469" t="s">
        <v>1654</v>
      </c>
      <c r="L469" t="s">
        <v>1655</v>
      </c>
      <c r="M469" s="4">
        <v>45267</v>
      </c>
    </row>
    <row r="470" spans="1:13" x14ac:dyDescent="0.25">
      <c r="A470">
        <v>56392711</v>
      </c>
      <c r="B470" t="s">
        <v>1656</v>
      </c>
      <c r="C470" t="s">
        <v>1657</v>
      </c>
      <c r="D470" t="s">
        <v>342</v>
      </c>
      <c r="E470" t="s">
        <v>3</v>
      </c>
      <c r="F470" t="s">
        <v>1658</v>
      </c>
      <c r="G470" s="2">
        <v>1</v>
      </c>
      <c r="H470" t="s">
        <v>5</v>
      </c>
      <c r="I470" t="s">
        <v>6</v>
      </c>
      <c r="J470" s="3">
        <v>1800</v>
      </c>
      <c r="K470" t="s">
        <v>1659</v>
      </c>
      <c r="L470" t="s">
        <v>1660</v>
      </c>
      <c r="M470" s="4">
        <v>45266</v>
      </c>
    </row>
    <row r="471" spans="1:13" x14ac:dyDescent="0.25">
      <c r="A471">
        <v>56392712</v>
      </c>
      <c r="B471" t="s">
        <v>1661</v>
      </c>
      <c r="C471" t="s">
        <v>1662</v>
      </c>
      <c r="D471" t="s">
        <v>289</v>
      </c>
      <c r="E471" t="s">
        <v>3</v>
      </c>
      <c r="F471" t="s">
        <v>320</v>
      </c>
      <c r="G471" s="2">
        <v>119140</v>
      </c>
      <c r="H471" t="s">
        <v>32</v>
      </c>
      <c r="I471" t="s">
        <v>6</v>
      </c>
      <c r="J471" s="3">
        <v>1191.4000000000001</v>
      </c>
      <c r="K471" t="s">
        <v>22</v>
      </c>
      <c r="L471" t="s">
        <v>22</v>
      </c>
      <c r="M471" s="4"/>
    </row>
    <row r="472" spans="1:13" x14ac:dyDescent="0.25">
      <c r="A472">
        <v>56392713</v>
      </c>
      <c r="B472" t="s">
        <v>1663</v>
      </c>
      <c r="C472" t="s">
        <v>22</v>
      </c>
      <c r="D472" t="s">
        <v>1582</v>
      </c>
      <c r="E472" t="s">
        <v>3</v>
      </c>
      <c r="F472" t="s">
        <v>1526</v>
      </c>
      <c r="G472" s="2">
        <v>1</v>
      </c>
      <c r="H472" t="s">
        <v>5</v>
      </c>
      <c r="I472" t="s">
        <v>25</v>
      </c>
      <c r="J472" s="3">
        <v>90</v>
      </c>
      <c r="K472" t="s">
        <v>1664</v>
      </c>
      <c r="L472" t="s">
        <v>1665</v>
      </c>
      <c r="M472" s="4">
        <v>45267</v>
      </c>
    </row>
    <row r="473" spans="1:13" x14ac:dyDescent="0.25">
      <c r="A473">
        <v>56392714</v>
      </c>
      <c r="B473" t="s">
        <v>1666</v>
      </c>
      <c r="C473" t="s">
        <v>257</v>
      </c>
      <c r="D473" t="s">
        <v>215</v>
      </c>
      <c r="E473" t="s">
        <v>3</v>
      </c>
      <c r="F473" t="s">
        <v>1667</v>
      </c>
      <c r="G473" s="2">
        <v>1</v>
      </c>
      <c r="H473" t="s">
        <v>32</v>
      </c>
      <c r="I473" t="s">
        <v>25</v>
      </c>
      <c r="J473" s="3">
        <v>4800</v>
      </c>
      <c r="K473" t="s">
        <v>22</v>
      </c>
      <c r="L473" t="s">
        <v>1668</v>
      </c>
      <c r="M473" s="4">
        <v>45267</v>
      </c>
    </row>
    <row r="474" spans="1:13" x14ac:dyDescent="0.25">
      <c r="A474">
        <v>56392715</v>
      </c>
      <c r="B474" t="s">
        <v>1669</v>
      </c>
      <c r="C474" t="s">
        <v>22</v>
      </c>
      <c r="D474" t="s">
        <v>1582</v>
      </c>
      <c r="E474" t="s">
        <v>3</v>
      </c>
      <c r="F474" t="s">
        <v>1670</v>
      </c>
      <c r="G474" s="2">
        <v>1</v>
      </c>
      <c r="H474" t="s">
        <v>5</v>
      </c>
      <c r="I474" t="s">
        <v>25</v>
      </c>
      <c r="J474" s="3">
        <v>1800</v>
      </c>
      <c r="K474" t="s">
        <v>1671</v>
      </c>
      <c r="L474" t="s">
        <v>1672</v>
      </c>
      <c r="M474" s="4">
        <v>45267</v>
      </c>
    </row>
    <row r="475" spans="1:13" x14ac:dyDescent="0.25">
      <c r="A475">
        <v>56392716</v>
      </c>
      <c r="B475" t="s">
        <v>1673</v>
      </c>
      <c r="C475" t="s">
        <v>22</v>
      </c>
      <c r="D475" t="s">
        <v>1582</v>
      </c>
      <c r="E475" t="s">
        <v>3</v>
      </c>
      <c r="F475" t="s">
        <v>1670</v>
      </c>
      <c r="G475" s="2">
        <v>1</v>
      </c>
      <c r="H475" t="s">
        <v>5</v>
      </c>
      <c r="I475" t="s">
        <v>25</v>
      </c>
      <c r="J475" s="3">
        <v>1800</v>
      </c>
      <c r="K475" t="s">
        <v>1674</v>
      </c>
      <c r="L475" t="s">
        <v>1675</v>
      </c>
      <c r="M475" s="4">
        <v>45267</v>
      </c>
    </row>
    <row r="476" spans="1:13" x14ac:dyDescent="0.25">
      <c r="A476">
        <v>56392717</v>
      </c>
      <c r="B476" t="s">
        <v>1676</v>
      </c>
      <c r="C476" t="s">
        <v>22</v>
      </c>
      <c r="D476" t="s">
        <v>1582</v>
      </c>
      <c r="E476" t="s">
        <v>3</v>
      </c>
      <c r="F476" t="s">
        <v>1677</v>
      </c>
      <c r="G476" s="2">
        <v>1</v>
      </c>
      <c r="H476" t="s">
        <v>5</v>
      </c>
      <c r="I476" t="s">
        <v>25</v>
      </c>
      <c r="J476" s="3">
        <v>1800</v>
      </c>
      <c r="K476" t="s">
        <v>1678</v>
      </c>
      <c r="L476" t="s">
        <v>1679</v>
      </c>
      <c r="M476" s="4">
        <v>45267</v>
      </c>
    </row>
    <row r="477" spans="1:13" x14ac:dyDescent="0.25">
      <c r="A477">
        <v>56392719</v>
      </c>
      <c r="B477" t="s">
        <v>1680</v>
      </c>
      <c r="C477" t="s">
        <v>503</v>
      </c>
      <c r="D477" t="s">
        <v>51</v>
      </c>
      <c r="E477" t="s">
        <v>3</v>
      </c>
      <c r="F477" t="s">
        <v>1681</v>
      </c>
      <c r="G477" s="2">
        <v>6000</v>
      </c>
      <c r="H477" t="s">
        <v>32</v>
      </c>
      <c r="I477" t="s">
        <v>25</v>
      </c>
      <c r="J477" s="3">
        <v>285</v>
      </c>
      <c r="K477" t="s">
        <v>22</v>
      </c>
      <c r="L477" t="s">
        <v>1682</v>
      </c>
      <c r="M477" s="4">
        <v>45266</v>
      </c>
    </row>
    <row r="478" spans="1:13" x14ac:dyDescent="0.25">
      <c r="A478">
        <v>56392721</v>
      </c>
      <c r="B478" t="s">
        <v>1683</v>
      </c>
      <c r="C478" t="s">
        <v>1603</v>
      </c>
      <c r="D478" t="s">
        <v>210</v>
      </c>
      <c r="E478" t="s">
        <v>3</v>
      </c>
      <c r="F478" t="s">
        <v>1684</v>
      </c>
      <c r="G478" s="2">
        <v>1000</v>
      </c>
      <c r="H478" t="s">
        <v>5</v>
      </c>
      <c r="I478" t="s">
        <v>6</v>
      </c>
      <c r="J478" s="3">
        <v>714.9</v>
      </c>
      <c r="K478" t="s">
        <v>1685</v>
      </c>
      <c r="L478" t="s">
        <v>1686</v>
      </c>
      <c r="M478" s="4">
        <v>45267</v>
      </c>
    </row>
    <row r="479" spans="1:13" x14ac:dyDescent="0.25">
      <c r="A479">
        <v>56392722</v>
      </c>
      <c r="B479" t="s">
        <v>1687</v>
      </c>
      <c r="C479" t="s">
        <v>1688</v>
      </c>
      <c r="D479" t="s">
        <v>51</v>
      </c>
      <c r="E479" t="s">
        <v>3</v>
      </c>
      <c r="F479" t="s">
        <v>1689</v>
      </c>
      <c r="G479" s="2">
        <v>14400</v>
      </c>
      <c r="H479" t="s">
        <v>32</v>
      </c>
      <c r="I479" t="s">
        <v>6</v>
      </c>
      <c r="J479" s="3">
        <v>720</v>
      </c>
      <c r="K479" t="s">
        <v>22</v>
      </c>
      <c r="L479" t="s">
        <v>1690</v>
      </c>
      <c r="M479" s="4">
        <v>45266</v>
      </c>
    </row>
    <row r="480" spans="1:13" x14ac:dyDescent="0.25">
      <c r="A480">
        <v>56392723</v>
      </c>
      <c r="B480" t="s">
        <v>1691</v>
      </c>
      <c r="C480" t="s">
        <v>1603</v>
      </c>
      <c r="D480" t="s">
        <v>210</v>
      </c>
      <c r="E480" t="s">
        <v>3</v>
      </c>
      <c r="F480" t="s">
        <v>1692</v>
      </c>
      <c r="G480" s="2">
        <v>300</v>
      </c>
      <c r="H480" t="s">
        <v>5</v>
      </c>
      <c r="I480" t="s">
        <v>6</v>
      </c>
      <c r="J480" s="3">
        <v>253.76</v>
      </c>
      <c r="K480" t="s">
        <v>1693</v>
      </c>
      <c r="L480" t="s">
        <v>1694</v>
      </c>
      <c r="M480" s="4">
        <v>45266</v>
      </c>
    </row>
    <row r="481" spans="1:13" x14ac:dyDescent="0.25">
      <c r="A481">
        <v>56392724</v>
      </c>
      <c r="B481" t="s">
        <v>1695</v>
      </c>
      <c r="C481" t="s">
        <v>734</v>
      </c>
      <c r="D481" t="s">
        <v>210</v>
      </c>
      <c r="E481" t="s">
        <v>3</v>
      </c>
      <c r="F481" t="s">
        <v>1696</v>
      </c>
      <c r="G481" s="2">
        <v>11500</v>
      </c>
      <c r="H481" t="s">
        <v>13</v>
      </c>
      <c r="I481" t="s">
        <v>6</v>
      </c>
      <c r="J481" s="3">
        <v>698.05</v>
      </c>
      <c r="K481" t="s">
        <v>1697</v>
      </c>
      <c r="L481" t="s">
        <v>1698</v>
      </c>
      <c r="M481" s="4">
        <v>45266</v>
      </c>
    </row>
    <row r="482" spans="1:13" x14ac:dyDescent="0.25">
      <c r="A482">
        <v>56392735</v>
      </c>
      <c r="B482" t="s">
        <v>1699</v>
      </c>
      <c r="C482" t="s">
        <v>397</v>
      </c>
      <c r="D482" t="s">
        <v>41</v>
      </c>
      <c r="E482" t="s">
        <v>3</v>
      </c>
      <c r="F482" t="s">
        <v>1700</v>
      </c>
      <c r="G482" s="2">
        <v>1</v>
      </c>
      <c r="H482" t="s">
        <v>32</v>
      </c>
      <c r="I482" t="s">
        <v>6</v>
      </c>
      <c r="J482" s="3">
        <v>1050</v>
      </c>
      <c r="K482" t="s">
        <v>22</v>
      </c>
      <c r="L482" t="s">
        <v>1701</v>
      </c>
      <c r="M482" s="4">
        <v>45266</v>
      </c>
    </row>
    <row r="483" spans="1:13" x14ac:dyDescent="0.25">
      <c r="A483">
        <v>56392736</v>
      </c>
      <c r="B483" t="s">
        <v>1702</v>
      </c>
      <c r="C483" t="s">
        <v>1070</v>
      </c>
      <c r="D483" t="s">
        <v>526</v>
      </c>
      <c r="E483" t="s">
        <v>3</v>
      </c>
      <c r="F483" t="s">
        <v>1071</v>
      </c>
      <c r="G483" s="2">
        <v>16</v>
      </c>
      <c r="H483" t="s">
        <v>32</v>
      </c>
      <c r="I483" t="s">
        <v>6</v>
      </c>
      <c r="J483" s="3">
        <v>800</v>
      </c>
      <c r="K483" t="s">
        <v>22</v>
      </c>
      <c r="L483" t="s">
        <v>1703</v>
      </c>
      <c r="M483" s="4">
        <v>45267</v>
      </c>
    </row>
    <row r="484" spans="1:13" x14ac:dyDescent="0.25">
      <c r="A484">
        <v>56392737</v>
      </c>
      <c r="B484" t="s">
        <v>1704</v>
      </c>
      <c r="C484" t="s">
        <v>1705</v>
      </c>
      <c r="D484" t="s">
        <v>526</v>
      </c>
      <c r="E484" t="s">
        <v>3</v>
      </c>
      <c r="F484" t="s">
        <v>1706</v>
      </c>
      <c r="G484" s="2">
        <v>10500</v>
      </c>
      <c r="H484" t="s">
        <v>32</v>
      </c>
      <c r="I484" t="s">
        <v>6</v>
      </c>
      <c r="J484" s="3">
        <v>3500.7</v>
      </c>
      <c r="K484" t="s">
        <v>22</v>
      </c>
      <c r="L484" t="s">
        <v>1707</v>
      </c>
      <c r="M484" s="4">
        <v>45267</v>
      </c>
    </row>
    <row r="485" spans="1:13" x14ac:dyDescent="0.25">
      <c r="A485">
        <v>56392738</v>
      </c>
      <c r="B485" t="s">
        <v>1708</v>
      </c>
      <c r="C485" t="s">
        <v>65</v>
      </c>
      <c r="D485" t="s">
        <v>23</v>
      </c>
      <c r="E485" t="s">
        <v>3</v>
      </c>
      <c r="F485" t="s">
        <v>1709</v>
      </c>
      <c r="G485" s="2">
        <v>1</v>
      </c>
      <c r="H485" t="s">
        <v>32</v>
      </c>
      <c r="I485" t="s">
        <v>6</v>
      </c>
      <c r="J485" s="3">
        <v>1500</v>
      </c>
      <c r="K485" t="s">
        <v>22</v>
      </c>
      <c r="L485" t="s">
        <v>1710</v>
      </c>
      <c r="M485" s="4">
        <v>45267</v>
      </c>
    </row>
    <row r="486" spans="1:13" x14ac:dyDescent="0.25">
      <c r="A486">
        <v>56392739</v>
      </c>
      <c r="B486" t="s">
        <v>1711</v>
      </c>
      <c r="C486" t="s">
        <v>1059</v>
      </c>
      <c r="D486" t="s">
        <v>245</v>
      </c>
      <c r="E486" t="s">
        <v>3</v>
      </c>
      <c r="F486" t="s">
        <v>1060</v>
      </c>
      <c r="G486" s="2">
        <v>1</v>
      </c>
      <c r="H486" t="s">
        <v>32</v>
      </c>
      <c r="I486" t="s">
        <v>77</v>
      </c>
      <c r="J486" s="3">
        <v>138800</v>
      </c>
      <c r="K486" t="s">
        <v>22</v>
      </c>
      <c r="L486" t="s">
        <v>1712</v>
      </c>
      <c r="M486" s="4">
        <v>45267</v>
      </c>
    </row>
    <row r="487" spans="1:13" x14ac:dyDescent="0.25">
      <c r="A487">
        <v>56392770</v>
      </c>
      <c r="B487" t="s">
        <v>1713</v>
      </c>
      <c r="C487" t="s">
        <v>1662</v>
      </c>
      <c r="D487" t="s">
        <v>289</v>
      </c>
      <c r="E487" t="s">
        <v>3</v>
      </c>
      <c r="F487" t="s">
        <v>320</v>
      </c>
      <c r="G487" s="2">
        <v>200200</v>
      </c>
      <c r="H487" t="s">
        <v>32</v>
      </c>
      <c r="I487" t="s">
        <v>6</v>
      </c>
      <c r="J487" s="3">
        <v>2002</v>
      </c>
      <c r="K487" t="s">
        <v>22</v>
      </c>
      <c r="L487" t="s">
        <v>22</v>
      </c>
      <c r="M487" s="4"/>
    </row>
    <row r="488" spans="1:13" x14ac:dyDescent="0.25">
      <c r="A488">
        <v>56392771</v>
      </c>
      <c r="B488" t="s">
        <v>1714</v>
      </c>
      <c r="C488" t="s">
        <v>1715</v>
      </c>
      <c r="D488" t="s">
        <v>210</v>
      </c>
      <c r="E488" t="s">
        <v>3</v>
      </c>
      <c r="F488" t="s">
        <v>1716</v>
      </c>
      <c r="G488" s="2">
        <v>6</v>
      </c>
      <c r="H488" t="s">
        <v>32</v>
      </c>
      <c r="I488" t="s">
        <v>117</v>
      </c>
      <c r="J488" s="3">
        <v>3714</v>
      </c>
      <c r="K488" t="s">
        <v>22</v>
      </c>
      <c r="L488" t="s">
        <v>1717</v>
      </c>
      <c r="M488" s="4">
        <v>45266</v>
      </c>
    </row>
    <row r="489" spans="1:13" x14ac:dyDescent="0.25">
      <c r="A489">
        <v>56392800</v>
      </c>
      <c r="B489" t="s">
        <v>1718</v>
      </c>
      <c r="C489" t="s">
        <v>1719</v>
      </c>
      <c r="D489" t="s">
        <v>148</v>
      </c>
      <c r="E489" t="s">
        <v>3</v>
      </c>
      <c r="F489" t="s">
        <v>1720</v>
      </c>
      <c r="G489" s="2">
        <v>1</v>
      </c>
      <c r="H489" t="s">
        <v>32</v>
      </c>
      <c r="I489" t="s">
        <v>117</v>
      </c>
      <c r="J489" s="3">
        <v>24610</v>
      </c>
      <c r="K489" t="s">
        <v>22</v>
      </c>
      <c r="L489" t="s">
        <v>1721</v>
      </c>
      <c r="M489" s="4">
        <v>45280</v>
      </c>
    </row>
    <row r="490" spans="1:13" x14ac:dyDescent="0.25">
      <c r="A490">
        <v>56392801</v>
      </c>
      <c r="B490" t="s">
        <v>1722</v>
      </c>
      <c r="C490" t="s">
        <v>1723</v>
      </c>
      <c r="D490" t="s">
        <v>61</v>
      </c>
      <c r="E490" t="s">
        <v>3</v>
      </c>
      <c r="F490" t="s">
        <v>1724</v>
      </c>
      <c r="G490" s="2">
        <v>1</v>
      </c>
      <c r="H490" t="s">
        <v>32</v>
      </c>
      <c r="I490" t="s">
        <v>25</v>
      </c>
      <c r="J490" s="3">
        <v>250</v>
      </c>
      <c r="K490" t="s">
        <v>22</v>
      </c>
      <c r="L490" t="s">
        <v>1725</v>
      </c>
      <c r="M490" s="4">
        <v>45267</v>
      </c>
    </row>
    <row r="491" spans="1:13" x14ac:dyDescent="0.25">
      <c r="A491">
        <v>56392802</v>
      </c>
      <c r="B491" t="s">
        <v>1726</v>
      </c>
      <c r="C491" t="s">
        <v>197</v>
      </c>
      <c r="D491" t="s">
        <v>61</v>
      </c>
      <c r="E491" t="s">
        <v>3</v>
      </c>
      <c r="F491" t="s">
        <v>1727</v>
      </c>
      <c r="G491" s="2">
        <v>1</v>
      </c>
      <c r="H491" t="s">
        <v>32</v>
      </c>
      <c r="I491" t="s">
        <v>25</v>
      </c>
      <c r="J491" s="3">
        <v>1000</v>
      </c>
      <c r="K491" t="s">
        <v>22</v>
      </c>
      <c r="L491" t="s">
        <v>1728</v>
      </c>
      <c r="M491" s="4">
        <v>45267</v>
      </c>
    </row>
    <row r="492" spans="1:13" x14ac:dyDescent="0.25">
      <c r="A492">
        <v>56392803</v>
      </c>
      <c r="B492" t="s">
        <v>1729</v>
      </c>
      <c r="C492" t="s">
        <v>1730</v>
      </c>
      <c r="D492" t="s">
        <v>289</v>
      </c>
      <c r="E492" t="s">
        <v>3</v>
      </c>
      <c r="F492" t="s">
        <v>1731</v>
      </c>
      <c r="G492" s="2">
        <v>1500</v>
      </c>
      <c r="H492" t="s">
        <v>5</v>
      </c>
      <c r="I492" t="s">
        <v>25</v>
      </c>
      <c r="J492" s="3">
        <v>330.15</v>
      </c>
      <c r="K492" t="s">
        <v>1732</v>
      </c>
      <c r="L492" t="s">
        <v>1733</v>
      </c>
      <c r="M492" s="4">
        <v>45267</v>
      </c>
    </row>
    <row r="493" spans="1:13" x14ac:dyDescent="0.25">
      <c r="A493">
        <v>56392804</v>
      </c>
      <c r="B493" t="s">
        <v>1734</v>
      </c>
      <c r="C493" t="s">
        <v>1723</v>
      </c>
      <c r="D493" t="s">
        <v>61</v>
      </c>
      <c r="E493" t="s">
        <v>3</v>
      </c>
      <c r="F493" t="s">
        <v>1735</v>
      </c>
      <c r="G493" s="2">
        <v>1</v>
      </c>
      <c r="H493" t="s">
        <v>32</v>
      </c>
      <c r="I493" t="s">
        <v>25</v>
      </c>
      <c r="J493" s="3">
        <v>250</v>
      </c>
      <c r="K493" t="s">
        <v>22</v>
      </c>
      <c r="L493" t="s">
        <v>1736</v>
      </c>
      <c r="M493" s="4">
        <v>45267</v>
      </c>
    </row>
    <row r="494" spans="1:13" x14ac:dyDescent="0.25">
      <c r="A494">
        <v>56392807</v>
      </c>
      <c r="B494" t="s">
        <v>1737</v>
      </c>
      <c r="C494" t="s">
        <v>22</v>
      </c>
      <c r="D494" t="s">
        <v>148</v>
      </c>
      <c r="E494" t="s">
        <v>3</v>
      </c>
      <c r="F494" t="s">
        <v>1738</v>
      </c>
      <c r="G494" s="2">
        <v>1</v>
      </c>
      <c r="H494" t="s">
        <v>32</v>
      </c>
      <c r="I494" t="s">
        <v>117</v>
      </c>
      <c r="J494" s="3">
        <v>2681.8</v>
      </c>
      <c r="K494" t="s">
        <v>22</v>
      </c>
      <c r="L494" t="s">
        <v>1739</v>
      </c>
      <c r="M494" s="4">
        <v>45267</v>
      </c>
    </row>
    <row r="495" spans="1:13" x14ac:dyDescent="0.25">
      <c r="A495">
        <v>56393556</v>
      </c>
      <c r="B495" t="s">
        <v>1740</v>
      </c>
      <c r="C495" t="s">
        <v>452</v>
      </c>
      <c r="D495" t="s">
        <v>210</v>
      </c>
      <c r="E495" t="s">
        <v>3</v>
      </c>
      <c r="F495" t="s">
        <v>1741</v>
      </c>
      <c r="G495" s="2">
        <v>3</v>
      </c>
      <c r="H495" t="s">
        <v>32</v>
      </c>
      <c r="I495" t="s">
        <v>117</v>
      </c>
      <c r="J495" s="3">
        <v>65916.39</v>
      </c>
      <c r="K495" t="s">
        <v>22</v>
      </c>
      <c r="L495" t="s">
        <v>1742</v>
      </c>
      <c r="M495" s="4">
        <v>45267</v>
      </c>
    </row>
    <row r="496" spans="1:13" x14ac:dyDescent="0.25">
      <c r="A496">
        <v>56393557</v>
      </c>
      <c r="B496" t="s">
        <v>1743</v>
      </c>
      <c r="C496" t="s">
        <v>623</v>
      </c>
      <c r="D496" t="s">
        <v>30</v>
      </c>
      <c r="E496" t="s">
        <v>3</v>
      </c>
      <c r="F496" t="s">
        <v>1744</v>
      </c>
      <c r="G496" s="2">
        <v>3</v>
      </c>
      <c r="H496" t="s">
        <v>32</v>
      </c>
      <c r="I496" t="s">
        <v>117</v>
      </c>
      <c r="J496" s="3">
        <v>156</v>
      </c>
      <c r="K496" t="s">
        <v>22</v>
      </c>
      <c r="L496" t="s">
        <v>1745</v>
      </c>
      <c r="M496" s="4">
        <v>45267</v>
      </c>
    </row>
    <row r="497" spans="1:13" x14ac:dyDescent="0.25">
      <c r="A497">
        <v>56394209</v>
      </c>
      <c r="B497" t="s">
        <v>744</v>
      </c>
      <c r="C497" t="s">
        <v>22</v>
      </c>
      <c r="D497" t="s">
        <v>237</v>
      </c>
      <c r="E497" t="s">
        <v>3</v>
      </c>
      <c r="F497" t="s">
        <v>1746</v>
      </c>
      <c r="G497" s="2">
        <v>1</v>
      </c>
      <c r="H497" t="s">
        <v>5</v>
      </c>
      <c r="I497" t="s">
        <v>33</v>
      </c>
      <c r="J497" s="3">
        <v>0</v>
      </c>
      <c r="K497" t="s">
        <v>1747</v>
      </c>
      <c r="L497" t="s">
        <v>1748</v>
      </c>
      <c r="M497" s="4">
        <v>45267</v>
      </c>
    </row>
    <row r="498" spans="1:13" x14ac:dyDescent="0.25">
      <c r="A498">
        <v>56394337</v>
      </c>
      <c r="B498" t="s">
        <v>744</v>
      </c>
      <c r="C498" t="s">
        <v>22</v>
      </c>
      <c r="D498" t="s">
        <v>237</v>
      </c>
      <c r="E498" t="s">
        <v>3</v>
      </c>
      <c r="F498" t="s">
        <v>1749</v>
      </c>
      <c r="G498" s="2">
        <v>4</v>
      </c>
      <c r="H498" t="s">
        <v>5</v>
      </c>
      <c r="I498" t="s">
        <v>33</v>
      </c>
      <c r="J498" s="3">
        <v>0</v>
      </c>
      <c r="K498" t="s">
        <v>1750</v>
      </c>
      <c r="L498" t="s">
        <v>1748</v>
      </c>
      <c r="M498" s="4">
        <v>45267</v>
      </c>
    </row>
    <row r="499" spans="1:13" x14ac:dyDescent="0.25">
      <c r="A499">
        <v>56394734</v>
      </c>
      <c r="B499" t="s">
        <v>1751</v>
      </c>
      <c r="C499" t="s">
        <v>1066</v>
      </c>
      <c r="D499" t="s">
        <v>215</v>
      </c>
      <c r="E499" t="s">
        <v>3</v>
      </c>
      <c r="F499" t="s">
        <v>1752</v>
      </c>
      <c r="G499" s="2">
        <v>1</v>
      </c>
      <c r="H499" t="s">
        <v>32</v>
      </c>
      <c r="I499" t="s">
        <v>117</v>
      </c>
      <c r="J499" s="3">
        <v>1628</v>
      </c>
      <c r="K499" t="s">
        <v>22</v>
      </c>
      <c r="L499" t="s">
        <v>1753</v>
      </c>
      <c r="M499" s="4">
        <v>45270</v>
      </c>
    </row>
    <row r="500" spans="1:13" x14ac:dyDescent="0.25">
      <c r="A500">
        <v>56394735</v>
      </c>
      <c r="B500" t="s">
        <v>1754</v>
      </c>
      <c r="C500" t="s">
        <v>999</v>
      </c>
      <c r="D500" t="s">
        <v>210</v>
      </c>
      <c r="E500" t="s">
        <v>3</v>
      </c>
      <c r="F500" t="s">
        <v>1755</v>
      </c>
      <c r="G500" s="2">
        <v>1</v>
      </c>
      <c r="H500" t="s">
        <v>32</v>
      </c>
      <c r="I500" t="s">
        <v>6</v>
      </c>
      <c r="J500" s="3">
        <v>1600</v>
      </c>
      <c r="K500" t="s">
        <v>22</v>
      </c>
      <c r="L500" t="s">
        <v>1756</v>
      </c>
      <c r="M500" s="4">
        <v>45271</v>
      </c>
    </row>
    <row r="501" spans="1:13" x14ac:dyDescent="0.25">
      <c r="A501">
        <v>56394736</v>
      </c>
      <c r="B501" t="s">
        <v>1757</v>
      </c>
      <c r="C501" t="s">
        <v>424</v>
      </c>
      <c r="D501" t="s">
        <v>61</v>
      </c>
      <c r="E501" t="s">
        <v>3</v>
      </c>
      <c r="F501" t="s">
        <v>1337</v>
      </c>
      <c r="G501" s="2">
        <v>1</v>
      </c>
      <c r="H501" t="s">
        <v>32</v>
      </c>
      <c r="I501" t="s">
        <v>6</v>
      </c>
      <c r="J501" s="3">
        <v>2915.5</v>
      </c>
      <c r="K501" t="s">
        <v>22</v>
      </c>
      <c r="L501" t="s">
        <v>1758</v>
      </c>
      <c r="M501" s="4">
        <v>45268</v>
      </c>
    </row>
    <row r="502" spans="1:13" x14ac:dyDescent="0.25">
      <c r="A502">
        <v>56394823</v>
      </c>
      <c r="B502" t="s">
        <v>1759</v>
      </c>
      <c r="C502" t="s">
        <v>1760</v>
      </c>
      <c r="D502" t="s">
        <v>30</v>
      </c>
      <c r="E502" t="s">
        <v>3</v>
      </c>
      <c r="F502" t="s">
        <v>1761</v>
      </c>
      <c r="G502" s="2">
        <v>1</v>
      </c>
      <c r="H502" t="s">
        <v>32</v>
      </c>
      <c r="I502" t="s">
        <v>117</v>
      </c>
      <c r="J502" s="3">
        <v>9669</v>
      </c>
      <c r="K502" t="s">
        <v>22</v>
      </c>
      <c r="L502" t="s">
        <v>1762</v>
      </c>
      <c r="M502" s="4">
        <v>45268</v>
      </c>
    </row>
    <row r="503" spans="1:13" x14ac:dyDescent="0.25">
      <c r="A503">
        <v>56394827</v>
      </c>
      <c r="B503" t="s">
        <v>1763</v>
      </c>
      <c r="C503" t="s">
        <v>1764</v>
      </c>
      <c r="D503" t="s">
        <v>61</v>
      </c>
      <c r="E503" t="s">
        <v>3</v>
      </c>
      <c r="F503" t="s">
        <v>1765</v>
      </c>
      <c r="G503" s="2">
        <v>1</v>
      </c>
      <c r="H503" t="s">
        <v>32</v>
      </c>
      <c r="I503" t="s">
        <v>6</v>
      </c>
      <c r="J503" s="3">
        <v>350</v>
      </c>
      <c r="K503" t="s">
        <v>22</v>
      </c>
      <c r="L503" t="s">
        <v>1766</v>
      </c>
      <c r="M503" s="4">
        <v>45268</v>
      </c>
    </row>
    <row r="504" spans="1:13" x14ac:dyDescent="0.25">
      <c r="A504">
        <v>56394882</v>
      </c>
      <c r="B504" t="s">
        <v>1767</v>
      </c>
      <c r="C504" t="s">
        <v>65</v>
      </c>
      <c r="D504" t="s">
        <v>61</v>
      </c>
      <c r="E504" t="s">
        <v>3</v>
      </c>
      <c r="F504" t="s">
        <v>1768</v>
      </c>
      <c r="G504" s="2">
        <v>1</v>
      </c>
      <c r="H504" t="s">
        <v>32</v>
      </c>
      <c r="I504" t="s">
        <v>6</v>
      </c>
      <c r="J504" s="3">
        <v>3800</v>
      </c>
      <c r="K504" t="s">
        <v>22</v>
      </c>
      <c r="L504" t="s">
        <v>1769</v>
      </c>
      <c r="M504" s="4">
        <v>45267</v>
      </c>
    </row>
    <row r="505" spans="1:13" x14ac:dyDescent="0.25">
      <c r="A505">
        <v>56394884</v>
      </c>
      <c r="B505" t="s">
        <v>1770</v>
      </c>
      <c r="C505" t="s">
        <v>631</v>
      </c>
      <c r="D505" t="s">
        <v>2</v>
      </c>
      <c r="E505" t="s">
        <v>3</v>
      </c>
      <c r="F505" t="s">
        <v>1771</v>
      </c>
      <c r="G505" s="2">
        <v>1</v>
      </c>
      <c r="H505" t="s">
        <v>32</v>
      </c>
      <c r="I505" t="s">
        <v>6</v>
      </c>
      <c r="J505" s="3">
        <v>639.32000000000005</v>
      </c>
      <c r="K505" t="s">
        <v>22</v>
      </c>
      <c r="L505" t="s">
        <v>1772</v>
      </c>
      <c r="M505" s="4">
        <v>45268</v>
      </c>
    </row>
    <row r="506" spans="1:13" x14ac:dyDescent="0.25">
      <c r="A506">
        <v>56394887</v>
      </c>
      <c r="B506" t="s">
        <v>1773</v>
      </c>
      <c r="C506" t="s">
        <v>312</v>
      </c>
      <c r="D506" t="s">
        <v>210</v>
      </c>
      <c r="E506" t="s">
        <v>3</v>
      </c>
      <c r="F506" t="s">
        <v>1774</v>
      </c>
      <c r="G506" s="2">
        <v>2000</v>
      </c>
      <c r="H506" t="s">
        <v>5</v>
      </c>
      <c r="I506" t="s">
        <v>6</v>
      </c>
      <c r="J506" s="3">
        <v>228</v>
      </c>
      <c r="K506" t="s">
        <v>1775</v>
      </c>
      <c r="L506" t="s">
        <v>1776</v>
      </c>
      <c r="M506" s="4">
        <v>45271</v>
      </c>
    </row>
    <row r="507" spans="1:13" x14ac:dyDescent="0.25">
      <c r="A507">
        <v>56396741</v>
      </c>
      <c r="B507" t="s">
        <v>1777</v>
      </c>
      <c r="C507" t="s">
        <v>1101</v>
      </c>
      <c r="D507" t="s">
        <v>253</v>
      </c>
      <c r="E507" t="s">
        <v>3</v>
      </c>
      <c r="F507" t="s">
        <v>1778</v>
      </c>
      <c r="G507" s="2">
        <v>1</v>
      </c>
      <c r="H507" t="s">
        <v>32</v>
      </c>
      <c r="I507" t="s">
        <v>25</v>
      </c>
      <c r="J507" s="3">
        <v>4500</v>
      </c>
      <c r="K507" t="s">
        <v>22</v>
      </c>
      <c r="L507" t="s">
        <v>1779</v>
      </c>
      <c r="M507" s="4">
        <v>45271</v>
      </c>
    </row>
    <row r="508" spans="1:13" x14ac:dyDescent="0.25">
      <c r="A508">
        <v>56396742</v>
      </c>
      <c r="B508" t="s">
        <v>1780</v>
      </c>
      <c r="C508" t="s">
        <v>135</v>
      </c>
      <c r="D508" t="s">
        <v>2</v>
      </c>
      <c r="E508" t="s">
        <v>3</v>
      </c>
      <c r="F508" t="s">
        <v>1384</v>
      </c>
      <c r="G508" s="2">
        <v>600</v>
      </c>
      <c r="H508" t="s">
        <v>5</v>
      </c>
      <c r="I508" t="s">
        <v>25</v>
      </c>
      <c r="J508" s="3">
        <v>1920</v>
      </c>
      <c r="K508" t="s">
        <v>22</v>
      </c>
      <c r="L508" t="s">
        <v>1781</v>
      </c>
      <c r="M508" s="4">
        <v>45271</v>
      </c>
    </row>
    <row r="509" spans="1:13" x14ac:dyDescent="0.25">
      <c r="A509">
        <v>56396747</v>
      </c>
      <c r="B509" t="s">
        <v>1782</v>
      </c>
      <c r="C509" t="s">
        <v>60</v>
      </c>
      <c r="D509" t="s">
        <v>51</v>
      </c>
      <c r="E509" t="s">
        <v>3</v>
      </c>
      <c r="F509" t="s">
        <v>1783</v>
      </c>
      <c r="G509" s="2">
        <v>32</v>
      </c>
      <c r="H509" t="s">
        <v>32</v>
      </c>
      <c r="I509" t="s">
        <v>25</v>
      </c>
      <c r="J509" s="3">
        <v>345.05</v>
      </c>
      <c r="K509" t="s">
        <v>22</v>
      </c>
      <c r="L509" t="s">
        <v>1784</v>
      </c>
      <c r="M509" s="4">
        <v>45271</v>
      </c>
    </row>
    <row r="510" spans="1:13" x14ac:dyDescent="0.25">
      <c r="A510">
        <v>56396748</v>
      </c>
      <c r="B510" t="s">
        <v>1785</v>
      </c>
      <c r="C510" t="s">
        <v>17</v>
      </c>
      <c r="D510" t="s">
        <v>51</v>
      </c>
      <c r="E510" t="s">
        <v>3</v>
      </c>
      <c r="F510" t="s">
        <v>1786</v>
      </c>
      <c r="G510" s="2">
        <v>100</v>
      </c>
      <c r="H510" t="s">
        <v>5</v>
      </c>
      <c r="I510" t="s">
        <v>25</v>
      </c>
      <c r="J510" s="3">
        <v>235</v>
      </c>
      <c r="K510" t="s">
        <v>22</v>
      </c>
      <c r="L510" t="s">
        <v>1787</v>
      </c>
      <c r="M510" s="4">
        <v>45271</v>
      </c>
    </row>
    <row r="511" spans="1:13" x14ac:dyDescent="0.25">
      <c r="A511">
        <v>56396749</v>
      </c>
      <c r="B511" t="s">
        <v>1788</v>
      </c>
      <c r="C511" t="s">
        <v>257</v>
      </c>
      <c r="D511" t="s">
        <v>215</v>
      </c>
      <c r="E511" t="s">
        <v>3</v>
      </c>
      <c r="F511" t="s">
        <v>1789</v>
      </c>
      <c r="G511" s="2">
        <v>1</v>
      </c>
      <c r="H511" t="s">
        <v>32</v>
      </c>
      <c r="I511" t="s">
        <v>25</v>
      </c>
      <c r="J511" s="3">
        <v>2850</v>
      </c>
      <c r="K511" t="s">
        <v>22</v>
      </c>
      <c r="L511" t="s">
        <v>1790</v>
      </c>
      <c r="M511" s="4">
        <v>45271</v>
      </c>
    </row>
    <row r="512" spans="1:13" x14ac:dyDescent="0.25">
      <c r="A512">
        <v>56396750</v>
      </c>
      <c r="B512" t="s">
        <v>1791</v>
      </c>
      <c r="C512" t="s">
        <v>257</v>
      </c>
      <c r="D512" t="s">
        <v>215</v>
      </c>
      <c r="E512" t="s">
        <v>3</v>
      </c>
      <c r="F512" t="s">
        <v>1792</v>
      </c>
      <c r="G512" s="2">
        <v>1</v>
      </c>
      <c r="H512" t="s">
        <v>32</v>
      </c>
      <c r="I512" t="s">
        <v>25</v>
      </c>
      <c r="J512" s="3">
        <v>3400</v>
      </c>
      <c r="K512" t="s">
        <v>22</v>
      </c>
      <c r="L512" t="s">
        <v>1793</v>
      </c>
      <c r="M512" s="4">
        <v>45271</v>
      </c>
    </row>
    <row r="513" spans="1:13" x14ac:dyDescent="0.25">
      <c r="A513">
        <v>56396751</v>
      </c>
      <c r="B513" t="s">
        <v>1794</v>
      </c>
      <c r="C513" t="s">
        <v>312</v>
      </c>
      <c r="D513" t="s">
        <v>210</v>
      </c>
      <c r="E513" t="s">
        <v>3</v>
      </c>
      <c r="F513" t="s">
        <v>1522</v>
      </c>
      <c r="G513" s="2">
        <v>100000</v>
      </c>
      <c r="H513" t="s">
        <v>5</v>
      </c>
      <c r="I513" t="s">
        <v>6</v>
      </c>
      <c r="J513" s="3">
        <v>1000</v>
      </c>
      <c r="K513" t="s">
        <v>1523</v>
      </c>
      <c r="L513" t="s">
        <v>1795</v>
      </c>
      <c r="M513" s="4">
        <v>45271</v>
      </c>
    </row>
    <row r="514" spans="1:13" x14ac:dyDescent="0.25">
      <c r="A514">
        <v>56396752</v>
      </c>
      <c r="B514" t="s">
        <v>1796</v>
      </c>
      <c r="C514" t="s">
        <v>700</v>
      </c>
      <c r="D514" t="s">
        <v>51</v>
      </c>
      <c r="E514" t="s">
        <v>3</v>
      </c>
      <c r="F514" t="s">
        <v>1797</v>
      </c>
      <c r="G514" s="2">
        <v>1</v>
      </c>
      <c r="H514" t="s">
        <v>5</v>
      </c>
      <c r="I514" t="s">
        <v>6</v>
      </c>
      <c r="J514" s="3">
        <v>1560</v>
      </c>
      <c r="K514" t="s">
        <v>22</v>
      </c>
      <c r="L514" t="s">
        <v>1798</v>
      </c>
      <c r="M514" s="4">
        <v>45271</v>
      </c>
    </row>
    <row r="515" spans="1:13" x14ac:dyDescent="0.25">
      <c r="A515">
        <v>56396753</v>
      </c>
      <c r="B515" t="s">
        <v>1799</v>
      </c>
      <c r="C515" t="s">
        <v>1603</v>
      </c>
      <c r="D515" t="s">
        <v>210</v>
      </c>
      <c r="E515" t="s">
        <v>3</v>
      </c>
      <c r="F515" t="s">
        <v>1800</v>
      </c>
      <c r="G515" s="2">
        <v>500</v>
      </c>
      <c r="H515" t="s">
        <v>5</v>
      </c>
      <c r="I515" t="s">
        <v>6</v>
      </c>
      <c r="J515" s="3">
        <v>302.7</v>
      </c>
      <c r="K515" t="s">
        <v>1801</v>
      </c>
      <c r="L515" t="s">
        <v>1802</v>
      </c>
      <c r="M515" s="4">
        <v>45271</v>
      </c>
    </row>
    <row r="516" spans="1:13" x14ac:dyDescent="0.25">
      <c r="A516">
        <v>56396758</v>
      </c>
      <c r="B516" t="s">
        <v>1803</v>
      </c>
      <c r="C516" t="s">
        <v>582</v>
      </c>
      <c r="D516" t="s">
        <v>342</v>
      </c>
      <c r="E516" t="s">
        <v>3</v>
      </c>
      <c r="F516" t="s">
        <v>1804</v>
      </c>
      <c r="G516" s="2">
        <v>1</v>
      </c>
      <c r="H516" t="s">
        <v>5</v>
      </c>
      <c r="I516" t="s">
        <v>6</v>
      </c>
      <c r="J516" s="3">
        <v>6358</v>
      </c>
      <c r="K516" t="s">
        <v>1805</v>
      </c>
      <c r="L516" t="s">
        <v>1806</v>
      </c>
      <c r="M516" s="4">
        <v>45272</v>
      </c>
    </row>
    <row r="517" spans="1:13" x14ac:dyDescent="0.25">
      <c r="A517">
        <v>56396759</v>
      </c>
      <c r="B517" t="s">
        <v>1807</v>
      </c>
      <c r="C517" t="s">
        <v>1599</v>
      </c>
      <c r="D517" t="s">
        <v>526</v>
      </c>
      <c r="E517" t="s">
        <v>3</v>
      </c>
      <c r="F517" t="s">
        <v>1808</v>
      </c>
      <c r="G517" s="2">
        <v>1050</v>
      </c>
      <c r="H517" t="s">
        <v>32</v>
      </c>
      <c r="I517" t="s">
        <v>6</v>
      </c>
      <c r="J517" s="3">
        <v>10500</v>
      </c>
      <c r="K517" t="s">
        <v>22</v>
      </c>
      <c r="L517" t="s">
        <v>1809</v>
      </c>
      <c r="M517" s="4">
        <v>45273</v>
      </c>
    </row>
    <row r="518" spans="1:13" x14ac:dyDescent="0.25">
      <c r="A518">
        <v>56396820</v>
      </c>
      <c r="B518" t="s">
        <v>1810</v>
      </c>
      <c r="C518" t="s">
        <v>1811</v>
      </c>
      <c r="D518" t="s">
        <v>526</v>
      </c>
      <c r="E518" t="s">
        <v>3</v>
      </c>
      <c r="F518" t="s">
        <v>1812</v>
      </c>
      <c r="G518" s="2">
        <v>900</v>
      </c>
      <c r="H518" t="s">
        <v>32</v>
      </c>
      <c r="I518" t="s">
        <v>6</v>
      </c>
      <c r="J518" s="3">
        <v>9000</v>
      </c>
      <c r="K518" t="s">
        <v>22</v>
      </c>
      <c r="L518" t="s">
        <v>1813</v>
      </c>
      <c r="M518" s="4">
        <v>45273</v>
      </c>
    </row>
    <row r="519" spans="1:13" x14ac:dyDescent="0.25">
      <c r="A519">
        <v>56396821</v>
      </c>
      <c r="B519" t="s">
        <v>1814</v>
      </c>
      <c r="C519" t="s">
        <v>1657</v>
      </c>
      <c r="D519" t="s">
        <v>342</v>
      </c>
      <c r="E519" t="s">
        <v>3</v>
      </c>
      <c r="F519" t="s">
        <v>1815</v>
      </c>
      <c r="G519" s="2">
        <v>1</v>
      </c>
      <c r="H519" t="s">
        <v>5</v>
      </c>
      <c r="I519" t="s">
        <v>6</v>
      </c>
      <c r="J519" s="3">
        <v>250</v>
      </c>
      <c r="K519" t="s">
        <v>1816</v>
      </c>
      <c r="L519" t="s">
        <v>1817</v>
      </c>
      <c r="M519" s="4">
        <v>45271</v>
      </c>
    </row>
    <row r="520" spans="1:13" x14ac:dyDescent="0.25">
      <c r="A520">
        <v>56413967</v>
      </c>
      <c r="B520" t="s">
        <v>1818</v>
      </c>
      <c r="C520" t="s">
        <v>1819</v>
      </c>
      <c r="D520" t="s">
        <v>30</v>
      </c>
      <c r="E520" t="s">
        <v>3</v>
      </c>
      <c r="F520" t="s">
        <v>1820</v>
      </c>
      <c r="G520" s="2">
        <v>1</v>
      </c>
      <c r="H520" t="s">
        <v>32</v>
      </c>
      <c r="I520" t="s">
        <v>117</v>
      </c>
      <c r="J520" s="3">
        <v>2500</v>
      </c>
      <c r="K520" t="s">
        <v>22</v>
      </c>
      <c r="L520" t="s">
        <v>1821</v>
      </c>
      <c r="M520" s="4">
        <v>45299</v>
      </c>
    </row>
    <row r="521" spans="1:13" x14ac:dyDescent="0.25">
      <c r="A521">
        <v>56413968</v>
      </c>
      <c r="B521" t="s">
        <v>1822</v>
      </c>
      <c r="C521" t="s">
        <v>1105</v>
      </c>
      <c r="D521" t="s">
        <v>61</v>
      </c>
      <c r="E521" t="s">
        <v>3</v>
      </c>
      <c r="F521" t="s">
        <v>1823</v>
      </c>
      <c r="G521" s="2">
        <v>1</v>
      </c>
      <c r="H521" t="s">
        <v>5</v>
      </c>
      <c r="I521" t="s">
        <v>6</v>
      </c>
      <c r="J521" s="3">
        <v>1800</v>
      </c>
      <c r="K521" t="s">
        <v>22</v>
      </c>
      <c r="L521" t="s">
        <v>1824</v>
      </c>
      <c r="M521" s="4">
        <v>45272</v>
      </c>
    </row>
    <row r="522" spans="1:13" x14ac:dyDescent="0.25">
      <c r="A522">
        <v>56413969</v>
      </c>
      <c r="B522" t="s">
        <v>1825</v>
      </c>
      <c r="C522" t="s">
        <v>486</v>
      </c>
      <c r="D522" t="s">
        <v>51</v>
      </c>
      <c r="E522" t="s">
        <v>3</v>
      </c>
      <c r="F522" t="s">
        <v>646</v>
      </c>
      <c r="G522" s="2">
        <v>60</v>
      </c>
      <c r="H522" t="s">
        <v>5</v>
      </c>
      <c r="I522" t="s">
        <v>6</v>
      </c>
      <c r="J522" s="3">
        <v>981</v>
      </c>
      <c r="K522" t="s">
        <v>22</v>
      </c>
      <c r="L522" t="s">
        <v>1826</v>
      </c>
      <c r="M522" s="4">
        <v>45272</v>
      </c>
    </row>
    <row r="523" spans="1:13" x14ac:dyDescent="0.25">
      <c r="A523">
        <v>56413975</v>
      </c>
      <c r="B523" t="s">
        <v>1827</v>
      </c>
      <c r="C523" t="s">
        <v>1423</v>
      </c>
      <c r="D523" t="s">
        <v>75</v>
      </c>
      <c r="E523" t="s">
        <v>3</v>
      </c>
      <c r="F523" t="s">
        <v>1828</v>
      </c>
      <c r="G523" s="2">
        <v>400</v>
      </c>
      <c r="H523" t="s">
        <v>5</v>
      </c>
      <c r="I523" t="s">
        <v>6</v>
      </c>
      <c r="J523" s="3">
        <v>2724</v>
      </c>
      <c r="K523" t="s">
        <v>22</v>
      </c>
      <c r="L523" t="s">
        <v>1829</v>
      </c>
      <c r="M523" s="4">
        <v>45274</v>
      </c>
    </row>
    <row r="524" spans="1:13" x14ac:dyDescent="0.25">
      <c r="A524">
        <v>56413976</v>
      </c>
      <c r="B524" t="s">
        <v>1830</v>
      </c>
      <c r="C524" t="s">
        <v>65</v>
      </c>
      <c r="D524" t="s">
        <v>23</v>
      </c>
      <c r="E524" t="s">
        <v>3</v>
      </c>
      <c r="F524" t="s">
        <v>1831</v>
      </c>
      <c r="G524" s="2">
        <v>1</v>
      </c>
      <c r="H524" t="s">
        <v>32</v>
      </c>
      <c r="I524" t="s">
        <v>6</v>
      </c>
      <c r="J524" s="3">
        <v>1500</v>
      </c>
      <c r="K524" t="s">
        <v>22</v>
      </c>
      <c r="L524" t="s">
        <v>1832</v>
      </c>
      <c r="M524" s="4">
        <v>45272</v>
      </c>
    </row>
    <row r="525" spans="1:13" x14ac:dyDescent="0.25">
      <c r="A525">
        <v>56413979</v>
      </c>
      <c r="B525" t="s">
        <v>1833</v>
      </c>
      <c r="C525" t="s">
        <v>664</v>
      </c>
      <c r="D525" t="s">
        <v>263</v>
      </c>
      <c r="E525" t="s">
        <v>3</v>
      </c>
      <c r="F525" t="s">
        <v>552</v>
      </c>
      <c r="G525" s="2">
        <v>1</v>
      </c>
      <c r="H525" t="s">
        <v>5</v>
      </c>
      <c r="I525" t="s">
        <v>25</v>
      </c>
      <c r="J525" s="3">
        <v>1800</v>
      </c>
      <c r="K525" t="s">
        <v>1834</v>
      </c>
      <c r="L525" t="s">
        <v>1835</v>
      </c>
      <c r="M525" s="4">
        <v>45272</v>
      </c>
    </row>
    <row r="526" spans="1:13" x14ac:dyDescent="0.25">
      <c r="A526">
        <v>56413980</v>
      </c>
      <c r="B526" t="s">
        <v>1836</v>
      </c>
      <c r="C526" t="s">
        <v>1275</v>
      </c>
      <c r="D526" t="s">
        <v>148</v>
      </c>
      <c r="E526" t="s">
        <v>3</v>
      </c>
      <c r="F526" t="s">
        <v>1837</v>
      </c>
      <c r="G526" s="2">
        <v>1</v>
      </c>
      <c r="H526" t="s">
        <v>32</v>
      </c>
      <c r="I526" t="s">
        <v>117</v>
      </c>
      <c r="J526" s="3">
        <v>2590</v>
      </c>
      <c r="K526" t="s">
        <v>22</v>
      </c>
      <c r="L526" t="s">
        <v>1838</v>
      </c>
      <c r="M526" s="4">
        <v>45271</v>
      </c>
    </row>
    <row r="527" spans="1:13" x14ac:dyDescent="0.25">
      <c r="A527">
        <v>56413990</v>
      </c>
      <c r="B527" t="s">
        <v>1839</v>
      </c>
      <c r="C527" t="s">
        <v>22</v>
      </c>
      <c r="D527" t="s">
        <v>23</v>
      </c>
      <c r="E527" t="s">
        <v>3</v>
      </c>
      <c r="F527" t="s">
        <v>1840</v>
      </c>
      <c r="G527" s="2">
        <v>1</v>
      </c>
      <c r="H527" t="s">
        <v>5</v>
      </c>
      <c r="I527" t="s">
        <v>25</v>
      </c>
      <c r="J527" s="3">
        <v>1500</v>
      </c>
      <c r="K527" t="s">
        <v>1841</v>
      </c>
      <c r="L527" t="s">
        <v>1842</v>
      </c>
      <c r="M527" s="4">
        <v>45272</v>
      </c>
    </row>
    <row r="528" spans="1:13" x14ac:dyDescent="0.25">
      <c r="A528">
        <v>56413991</v>
      </c>
      <c r="B528" t="s">
        <v>1843</v>
      </c>
      <c r="C528" t="s">
        <v>22</v>
      </c>
      <c r="D528" t="s">
        <v>23</v>
      </c>
      <c r="E528" t="s">
        <v>3</v>
      </c>
      <c r="F528" t="s">
        <v>1844</v>
      </c>
      <c r="G528" s="2">
        <v>1</v>
      </c>
      <c r="H528" t="s">
        <v>32</v>
      </c>
      <c r="I528" t="s">
        <v>25</v>
      </c>
      <c r="J528" s="3">
        <v>1500</v>
      </c>
      <c r="K528" t="s">
        <v>22</v>
      </c>
      <c r="L528" t="s">
        <v>1845</v>
      </c>
      <c r="M528" s="4">
        <v>45272</v>
      </c>
    </row>
    <row r="529" spans="1:13" x14ac:dyDescent="0.25">
      <c r="A529">
        <v>56413992</v>
      </c>
      <c r="B529" t="s">
        <v>1846</v>
      </c>
      <c r="C529" t="s">
        <v>22</v>
      </c>
      <c r="D529" t="s">
        <v>23</v>
      </c>
      <c r="E529" t="s">
        <v>3</v>
      </c>
      <c r="F529" t="s">
        <v>1847</v>
      </c>
      <c r="G529" s="2">
        <v>1</v>
      </c>
      <c r="H529" t="s">
        <v>32</v>
      </c>
      <c r="I529" t="s">
        <v>25</v>
      </c>
      <c r="J529" s="3">
        <v>500</v>
      </c>
      <c r="K529" t="s">
        <v>22</v>
      </c>
      <c r="L529" t="s">
        <v>1848</v>
      </c>
      <c r="M529" s="4">
        <v>45272</v>
      </c>
    </row>
    <row r="530" spans="1:13" x14ac:dyDescent="0.25">
      <c r="A530">
        <v>56413994</v>
      </c>
      <c r="B530" t="s">
        <v>1849</v>
      </c>
      <c r="C530" t="s">
        <v>1850</v>
      </c>
      <c r="D530" t="s">
        <v>2</v>
      </c>
      <c r="E530" t="s">
        <v>3</v>
      </c>
      <c r="F530" t="s">
        <v>1851</v>
      </c>
      <c r="G530" s="2">
        <v>1800</v>
      </c>
      <c r="H530" t="s">
        <v>32</v>
      </c>
      <c r="I530" t="s">
        <v>6</v>
      </c>
      <c r="J530" s="3">
        <v>2880</v>
      </c>
      <c r="K530" t="s">
        <v>22</v>
      </c>
      <c r="L530" t="s">
        <v>1852</v>
      </c>
      <c r="M530" s="4">
        <v>45272</v>
      </c>
    </row>
    <row r="531" spans="1:13" x14ac:dyDescent="0.25">
      <c r="A531">
        <v>56413995</v>
      </c>
      <c r="B531" t="s">
        <v>1853</v>
      </c>
      <c r="C531" t="s">
        <v>1603</v>
      </c>
      <c r="D531" t="s">
        <v>210</v>
      </c>
      <c r="E531" t="s">
        <v>3</v>
      </c>
      <c r="F531" t="s">
        <v>1684</v>
      </c>
      <c r="G531" s="2">
        <v>1000</v>
      </c>
      <c r="H531" t="s">
        <v>5</v>
      </c>
      <c r="I531" t="s">
        <v>6</v>
      </c>
      <c r="J531" s="3">
        <v>714.9</v>
      </c>
      <c r="K531" t="s">
        <v>1685</v>
      </c>
      <c r="L531" t="s">
        <v>1854</v>
      </c>
      <c r="M531" s="4">
        <v>45272</v>
      </c>
    </row>
    <row r="532" spans="1:13" x14ac:dyDescent="0.25">
      <c r="A532">
        <v>56413996</v>
      </c>
      <c r="B532" t="s">
        <v>1855</v>
      </c>
      <c r="C532" t="s">
        <v>424</v>
      </c>
      <c r="D532" t="s">
        <v>756</v>
      </c>
      <c r="E532" t="s">
        <v>3</v>
      </c>
      <c r="F532" t="s">
        <v>1856</v>
      </c>
      <c r="G532" s="2">
        <v>1</v>
      </c>
      <c r="H532" t="s">
        <v>32</v>
      </c>
      <c r="I532" t="s">
        <v>6</v>
      </c>
      <c r="J532" s="3">
        <v>2346</v>
      </c>
      <c r="K532" t="s">
        <v>22</v>
      </c>
      <c r="L532" t="s">
        <v>1857</v>
      </c>
      <c r="M532" s="4">
        <v>45272</v>
      </c>
    </row>
    <row r="533" spans="1:13" x14ac:dyDescent="0.25">
      <c r="A533">
        <v>56414081</v>
      </c>
      <c r="B533" t="s">
        <v>1858</v>
      </c>
      <c r="C533" t="s">
        <v>530</v>
      </c>
      <c r="D533" t="s">
        <v>51</v>
      </c>
      <c r="E533" t="s">
        <v>3</v>
      </c>
      <c r="F533" t="s">
        <v>1859</v>
      </c>
      <c r="G533" s="2">
        <v>1</v>
      </c>
      <c r="H533" t="s">
        <v>32</v>
      </c>
      <c r="I533" t="s">
        <v>25</v>
      </c>
      <c r="J533" s="3">
        <v>540</v>
      </c>
      <c r="K533" t="s">
        <v>22</v>
      </c>
      <c r="L533" t="s">
        <v>1860</v>
      </c>
      <c r="M533" s="4">
        <v>45272</v>
      </c>
    </row>
    <row r="534" spans="1:13" x14ac:dyDescent="0.25">
      <c r="A534">
        <v>56414082</v>
      </c>
      <c r="B534" t="s">
        <v>1861</v>
      </c>
      <c r="C534" t="s">
        <v>755</v>
      </c>
      <c r="D534" t="s">
        <v>1862</v>
      </c>
      <c r="E534" t="s">
        <v>3</v>
      </c>
      <c r="F534" t="s">
        <v>1863</v>
      </c>
      <c r="G534" s="2">
        <v>1</v>
      </c>
      <c r="H534" t="s">
        <v>5</v>
      </c>
      <c r="I534" t="s">
        <v>25</v>
      </c>
      <c r="J534" s="3">
        <v>11386</v>
      </c>
      <c r="K534" t="s">
        <v>22</v>
      </c>
      <c r="L534" t="s">
        <v>1864</v>
      </c>
      <c r="M534" s="4">
        <v>45272</v>
      </c>
    </row>
    <row r="535" spans="1:13" x14ac:dyDescent="0.25">
      <c r="A535">
        <v>56414083</v>
      </c>
      <c r="B535" t="s">
        <v>1865</v>
      </c>
      <c r="C535" t="s">
        <v>322</v>
      </c>
      <c r="D535" t="s">
        <v>51</v>
      </c>
      <c r="E535" t="s">
        <v>3</v>
      </c>
      <c r="F535" t="s">
        <v>1866</v>
      </c>
      <c r="G535" s="2">
        <v>250</v>
      </c>
      <c r="H535" t="s">
        <v>32</v>
      </c>
      <c r="I535" t="s">
        <v>25</v>
      </c>
      <c r="J535" s="3">
        <v>175</v>
      </c>
      <c r="K535" t="s">
        <v>22</v>
      </c>
      <c r="L535" t="s">
        <v>1867</v>
      </c>
      <c r="M535" s="4">
        <v>45272</v>
      </c>
    </row>
    <row r="536" spans="1:13" x14ac:dyDescent="0.25">
      <c r="A536">
        <v>56414084</v>
      </c>
      <c r="B536" t="s">
        <v>1868</v>
      </c>
      <c r="C536" t="s">
        <v>22</v>
      </c>
      <c r="D536" t="s">
        <v>253</v>
      </c>
      <c r="E536" t="s">
        <v>3</v>
      </c>
      <c r="F536" t="s">
        <v>1869</v>
      </c>
      <c r="G536" s="2">
        <v>1</v>
      </c>
      <c r="H536" t="s">
        <v>32</v>
      </c>
      <c r="I536" t="s">
        <v>25</v>
      </c>
      <c r="J536" s="3">
        <v>1337</v>
      </c>
      <c r="K536" t="s">
        <v>22</v>
      </c>
      <c r="L536" t="s">
        <v>1870</v>
      </c>
      <c r="M536" s="4">
        <v>45272</v>
      </c>
    </row>
    <row r="537" spans="1:13" x14ac:dyDescent="0.25">
      <c r="A537">
        <v>56414085</v>
      </c>
      <c r="B537" t="s">
        <v>1871</v>
      </c>
      <c r="C537" t="s">
        <v>322</v>
      </c>
      <c r="D537" t="s">
        <v>51</v>
      </c>
      <c r="E537" t="s">
        <v>3</v>
      </c>
      <c r="F537" t="s">
        <v>1872</v>
      </c>
      <c r="G537" s="2">
        <v>500</v>
      </c>
      <c r="H537" t="s">
        <v>5</v>
      </c>
      <c r="I537" t="s">
        <v>25</v>
      </c>
      <c r="J537" s="3">
        <v>12</v>
      </c>
      <c r="K537" t="s">
        <v>22</v>
      </c>
      <c r="L537" t="s">
        <v>1873</v>
      </c>
      <c r="M537" s="4">
        <v>45272</v>
      </c>
    </row>
    <row r="538" spans="1:13" x14ac:dyDescent="0.25">
      <c r="A538">
        <v>56417479</v>
      </c>
      <c r="B538" t="s">
        <v>1874</v>
      </c>
      <c r="C538" t="s">
        <v>749</v>
      </c>
      <c r="D538" t="s">
        <v>253</v>
      </c>
      <c r="E538" t="s">
        <v>3</v>
      </c>
      <c r="F538" t="s">
        <v>752</v>
      </c>
      <c r="G538" s="2">
        <v>13</v>
      </c>
      <c r="H538" t="s">
        <v>5</v>
      </c>
      <c r="I538" t="s">
        <v>6</v>
      </c>
      <c r="J538" s="3">
        <v>119.07</v>
      </c>
      <c r="K538" t="s">
        <v>753</v>
      </c>
      <c r="L538" t="s">
        <v>1875</v>
      </c>
      <c r="M538" s="4">
        <v>45272</v>
      </c>
    </row>
    <row r="539" spans="1:13" x14ac:dyDescent="0.25">
      <c r="A539">
        <v>56417480</v>
      </c>
      <c r="B539" t="s">
        <v>1876</v>
      </c>
      <c r="C539" t="s">
        <v>312</v>
      </c>
      <c r="D539" t="s">
        <v>210</v>
      </c>
      <c r="E539" t="s">
        <v>3</v>
      </c>
      <c r="F539" t="s">
        <v>1522</v>
      </c>
      <c r="G539" s="2">
        <v>150000</v>
      </c>
      <c r="H539" t="s">
        <v>5</v>
      </c>
      <c r="I539" t="s">
        <v>6</v>
      </c>
      <c r="J539" s="3">
        <v>1500</v>
      </c>
      <c r="K539" t="s">
        <v>1523</v>
      </c>
      <c r="L539" t="s">
        <v>1877</v>
      </c>
      <c r="M539" s="4">
        <v>45273</v>
      </c>
    </row>
    <row r="540" spans="1:13" x14ac:dyDescent="0.25">
      <c r="A540">
        <v>56417481</v>
      </c>
      <c r="B540" t="s">
        <v>1878</v>
      </c>
      <c r="C540" t="s">
        <v>276</v>
      </c>
      <c r="D540" t="s">
        <v>215</v>
      </c>
      <c r="E540" t="s">
        <v>3</v>
      </c>
      <c r="F540" t="s">
        <v>1879</v>
      </c>
      <c r="G540" s="2">
        <v>1</v>
      </c>
      <c r="H540" t="s">
        <v>32</v>
      </c>
      <c r="I540" t="s">
        <v>6</v>
      </c>
      <c r="J540" s="3">
        <v>1101.5999999999999</v>
      </c>
      <c r="K540" t="s">
        <v>22</v>
      </c>
      <c r="L540" t="s">
        <v>1880</v>
      </c>
      <c r="M540" s="4">
        <v>45273</v>
      </c>
    </row>
    <row r="541" spans="1:13" x14ac:dyDescent="0.25">
      <c r="A541">
        <v>56417514</v>
      </c>
      <c r="B541" t="s">
        <v>1881</v>
      </c>
      <c r="C541" t="s">
        <v>22</v>
      </c>
      <c r="D541" t="s">
        <v>155</v>
      </c>
      <c r="E541" t="s">
        <v>3</v>
      </c>
      <c r="F541" t="s">
        <v>1882</v>
      </c>
      <c r="G541" s="2">
        <v>1</v>
      </c>
      <c r="H541" t="s">
        <v>5</v>
      </c>
      <c r="I541" t="s">
        <v>25</v>
      </c>
      <c r="J541" s="3">
        <v>1800</v>
      </c>
      <c r="K541" t="s">
        <v>1883</v>
      </c>
      <c r="L541" t="s">
        <v>1884</v>
      </c>
      <c r="M541" s="4">
        <v>45273</v>
      </c>
    </row>
    <row r="542" spans="1:13" x14ac:dyDescent="0.25">
      <c r="A542">
        <v>56417515</v>
      </c>
      <c r="B542" t="s">
        <v>1885</v>
      </c>
      <c r="C542" t="s">
        <v>22</v>
      </c>
      <c r="D542" t="s">
        <v>155</v>
      </c>
      <c r="E542" t="s">
        <v>3</v>
      </c>
      <c r="F542" t="s">
        <v>1886</v>
      </c>
      <c r="G542" s="2">
        <v>1</v>
      </c>
      <c r="H542" t="s">
        <v>5</v>
      </c>
      <c r="I542" t="s">
        <v>25</v>
      </c>
      <c r="J542" s="3">
        <v>1800</v>
      </c>
      <c r="K542" t="s">
        <v>1887</v>
      </c>
      <c r="L542" t="s">
        <v>1888</v>
      </c>
      <c r="M542" s="4">
        <v>45273</v>
      </c>
    </row>
    <row r="543" spans="1:13" x14ac:dyDescent="0.25">
      <c r="A543">
        <v>56417516</v>
      </c>
      <c r="B543" t="s">
        <v>1889</v>
      </c>
      <c r="C543" t="s">
        <v>22</v>
      </c>
      <c r="D543" t="s">
        <v>155</v>
      </c>
      <c r="E543" t="s">
        <v>3</v>
      </c>
      <c r="F543" t="s">
        <v>1890</v>
      </c>
      <c r="G543" s="2">
        <v>1</v>
      </c>
      <c r="H543" t="s">
        <v>5</v>
      </c>
      <c r="I543" t="s">
        <v>25</v>
      </c>
      <c r="J543" s="3">
        <v>1800</v>
      </c>
      <c r="K543" t="s">
        <v>1891</v>
      </c>
      <c r="L543" t="s">
        <v>1892</v>
      </c>
      <c r="M543" s="4">
        <v>45273</v>
      </c>
    </row>
    <row r="544" spans="1:13" x14ac:dyDescent="0.25">
      <c r="A544">
        <v>56417517</v>
      </c>
      <c r="B544" t="s">
        <v>1893</v>
      </c>
      <c r="C544" t="s">
        <v>435</v>
      </c>
      <c r="D544" t="s">
        <v>210</v>
      </c>
      <c r="E544" t="s">
        <v>3</v>
      </c>
      <c r="F544" t="s">
        <v>1894</v>
      </c>
      <c r="G544" s="2">
        <v>1</v>
      </c>
      <c r="H544" t="s">
        <v>32</v>
      </c>
      <c r="I544" t="s">
        <v>77</v>
      </c>
      <c r="J544" s="3">
        <v>77500</v>
      </c>
      <c r="K544" t="s">
        <v>22</v>
      </c>
      <c r="L544" t="s">
        <v>1895</v>
      </c>
      <c r="M544" s="4">
        <v>45275</v>
      </c>
    </row>
    <row r="545" spans="1:13" x14ac:dyDescent="0.25">
      <c r="A545">
        <v>56417518</v>
      </c>
      <c r="B545" t="s">
        <v>1896</v>
      </c>
      <c r="C545" t="s">
        <v>139</v>
      </c>
      <c r="D545" t="s">
        <v>1897</v>
      </c>
      <c r="E545" t="s">
        <v>3</v>
      </c>
      <c r="F545" t="s">
        <v>1898</v>
      </c>
      <c r="G545" s="2">
        <v>112500</v>
      </c>
      <c r="H545" t="s">
        <v>5</v>
      </c>
      <c r="I545" t="s">
        <v>6</v>
      </c>
      <c r="J545" s="3">
        <v>7903.13</v>
      </c>
      <c r="K545" t="s">
        <v>22</v>
      </c>
      <c r="L545" t="s">
        <v>1899</v>
      </c>
      <c r="M545" s="4">
        <v>45274</v>
      </c>
    </row>
    <row r="546" spans="1:13" x14ac:dyDescent="0.25">
      <c r="A546">
        <v>56417519</v>
      </c>
      <c r="B546" t="s">
        <v>1900</v>
      </c>
      <c r="C546" t="s">
        <v>22</v>
      </c>
      <c r="D546" t="s">
        <v>253</v>
      </c>
      <c r="E546" t="s">
        <v>3</v>
      </c>
      <c r="F546" t="s">
        <v>1901</v>
      </c>
      <c r="G546" s="2">
        <v>1</v>
      </c>
      <c r="H546" t="s">
        <v>32</v>
      </c>
      <c r="I546" t="s">
        <v>25</v>
      </c>
      <c r="J546" s="3">
        <v>1400</v>
      </c>
      <c r="K546" t="s">
        <v>22</v>
      </c>
      <c r="L546" t="s">
        <v>1902</v>
      </c>
      <c r="M546" s="4">
        <v>45273</v>
      </c>
    </row>
    <row r="547" spans="1:13" x14ac:dyDescent="0.25">
      <c r="A547">
        <v>56417520</v>
      </c>
      <c r="B547" t="s">
        <v>1903</v>
      </c>
      <c r="C547" t="s">
        <v>1055</v>
      </c>
      <c r="D547" t="s">
        <v>30</v>
      </c>
      <c r="E547" t="s">
        <v>3</v>
      </c>
      <c r="F547" t="s">
        <v>1904</v>
      </c>
      <c r="G547" s="2">
        <v>1</v>
      </c>
      <c r="H547" t="s">
        <v>32</v>
      </c>
      <c r="I547" t="s">
        <v>77</v>
      </c>
      <c r="J547" s="3">
        <v>156500</v>
      </c>
      <c r="K547" t="s">
        <v>22</v>
      </c>
      <c r="L547" t="s">
        <v>1905</v>
      </c>
      <c r="M547" s="4">
        <v>45275</v>
      </c>
    </row>
    <row r="548" spans="1:13" x14ac:dyDescent="0.25">
      <c r="A548">
        <v>56417521</v>
      </c>
      <c r="B548" t="s">
        <v>1906</v>
      </c>
      <c r="C548" t="s">
        <v>1907</v>
      </c>
      <c r="D548" t="s">
        <v>215</v>
      </c>
      <c r="E548" t="s">
        <v>3</v>
      </c>
      <c r="F548" t="s">
        <v>1908</v>
      </c>
      <c r="G548" s="2">
        <v>1</v>
      </c>
      <c r="H548" t="s">
        <v>32</v>
      </c>
      <c r="I548" t="s">
        <v>25</v>
      </c>
      <c r="J548" s="3">
        <v>2460</v>
      </c>
      <c r="K548" t="s">
        <v>22</v>
      </c>
      <c r="L548" t="s">
        <v>1909</v>
      </c>
      <c r="M548" s="4">
        <v>45273</v>
      </c>
    </row>
    <row r="549" spans="1:13" x14ac:dyDescent="0.25">
      <c r="A549">
        <v>56417522</v>
      </c>
      <c r="B549" t="s">
        <v>1910</v>
      </c>
      <c r="C549" t="s">
        <v>257</v>
      </c>
      <c r="D549" t="s">
        <v>215</v>
      </c>
      <c r="E549" t="s">
        <v>3</v>
      </c>
      <c r="F549" t="s">
        <v>1911</v>
      </c>
      <c r="G549" s="2">
        <v>1</v>
      </c>
      <c r="H549" t="s">
        <v>32</v>
      </c>
      <c r="I549" t="s">
        <v>25</v>
      </c>
      <c r="J549" s="3">
        <v>4200</v>
      </c>
      <c r="K549" t="s">
        <v>22</v>
      </c>
      <c r="L549" t="s">
        <v>1912</v>
      </c>
      <c r="M549" s="4">
        <v>45273</v>
      </c>
    </row>
    <row r="550" spans="1:13" x14ac:dyDescent="0.25">
      <c r="A550">
        <v>56417523</v>
      </c>
      <c r="B550" t="s">
        <v>1913</v>
      </c>
      <c r="C550" t="s">
        <v>1914</v>
      </c>
      <c r="D550" t="s">
        <v>210</v>
      </c>
      <c r="E550" t="s">
        <v>3</v>
      </c>
      <c r="F550" t="s">
        <v>1915</v>
      </c>
      <c r="G550" s="2">
        <v>1</v>
      </c>
      <c r="H550" t="s">
        <v>32</v>
      </c>
      <c r="I550" t="s">
        <v>77</v>
      </c>
      <c r="J550" s="3">
        <v>114995</v>
      </c>
      <c r="K550" t="s">
        <v>22</v>
      </c>
      <c r="L550" t="s">
        <v>1916</v>
      </c>
      <c r="M550" s="4">
        <v>45279</v>
      </c>
    </row>
    <row r="551" spans="1:13" x14ac:dyDescent="0.25">
      <c r="A551">
        <v>56417524</v>
      </c>
      <c r="B551" t="s">
        <v>1917</v>
      </c>
      <c r="C551" t="s">
        <v>1918</v>
      </c>
      <c r="D551" t="s">
        <v>37</v>
      </c>
      <c r="E551" t="s">
        <v>3</v>
      </c>
      <c r="F551" t="s">
        <v>1919</v>
      </c>
      <c r="G551" s="2">
        <v>4000</v>
      </c>
      <c r="H551" t="s">
        <v>32</v>
      </c>
      <c r="I551" t="s">
        <v>6</v>
      </c>
      <c r="J551" s="3">
        <v>332</v>
      </c>
      <c r="K551" t="s">
        <v>22</v>
      </c>
      <c r="L551" t="s">
        <v>1920</v>
      </c>
      <c r="M551" s="4">
        <v>45273</v>
      </c>
    </row>
    <row r="552" spans="1:13" x14ac:dyDescent="0.25">
      <c r="A552">
        <v>56425458</v>
      </c>
      <c r="B552" t="s">
        <v>1921</v>
      </c>
      <c r="C552" t="s">
        <v>22</v>
      </c>
      <c r="D552" t="s">
        <v>253</v>
      </c>
      <c r="E552" t="s">
        <v>3</v>
      </c>
      <c r="F552" t="s">
        <v>1922</v>
      </c>
      <c r="G552" s="2">
        <v>1</v>
      </c>
      <c r="H552" t="s">
        <v>32</v>
      </c>
      <c r="I552" t="s">
        <v>25</v>
      </c>
      <c r="J552" s="3">
        <v>850</v>
      </c>
      <c r="K552" t="s">
        <v>22</v>
      </c>
      <c r="L552" t="s">
        <v>1923</v>
      </c>
      <c r="M552" s="4">
        <v>45273</v>
      </c>
    </row>
    <row r="553" spans="1:13" x14ac:dyDescent="0.25">
      <c r="A553">
        <v>56425459</v>
      </c>
      <c r="B553" t="s">
        <v>1924</v>
      </c>
      <c r="C553" t="s">
        <v>312</v>
      </c>
      <c r="D553" t="s">
        <v>210</v>
      </c>
      <c r="E553" t="s">
        <v>3</v>
      </c>
      <c r="F553" t="s">
        <v>1925</v>
      </c>
      <c r="G553" s="2">
        <v>1000</v>
      </c>
      <c r="H553" t="s">
        <v>13</v>
      </c>
      <c r="I553" t="s">
        <v>6</v>
      </c>
      <c r="J553" s="3">
        <v>76</v>
      </c>
      <c r="K553" t="s">
        <v>22</v>
      </c>
      <c r="L553" t="s">
        <v>1926</v>
      </c>
      <c r="M553" s="4">
        <v>45273</v>
      </c>
    </row>
    <row r="554" spans="1:13" x14ac:dyDescent="0.25">
      <c r="A554">
        <v>56425460</v>
      </c>
      <c r="B554" t="s">
        <v>1927</v>
      </c>
      <c r="C554" t="s">
        <v>22</v>
      </c>
      <c r="D554" t="s">
        <v>253</v>
      </c>
      <c r="E554" t="s">
        <v>3</v>
      </c>
      <c r="F554" t="s">
        <v>1928</v>
      </c>
      <c r="G554" s="2">
        <v>1</v>
      </c>
      <c r="H554" t="s">
        <v>32</v>
      </c>
      <c r="I554" t="s">
        <v>6</v>
      </c>
      <c r="J554" s="3">
        <v>3000</v>
      </c>
      <c r="K554" t="s">
        <v>22</v>
      </c>
      <c r="L554" t="s">
        <v>1929</v>
      </c>
      <c r="M554" s="4">
        <v>45274</v>
      </c>
    </row>
    <row r="555" spans="1:13" x14ac:dyDescent="0.25">
      <c r="A555">
        <v>56425461</v>
      </c>
      <c r="B555" t="s">
        <v>1930</v>
      </c>
      <c r="C555" t="s">
        <v>424</v>
      </c>
      <c r="D555" t="s">
        <v>253</v>
      </c>
      <c r="E555" t="s">
        <v>3</v>
      </c>
      <c r="F555" t="s">
        <v>1931</v>
      </c>
      <c r="G555" s="2">
        <v>1</v>
      </c>
      <c r="H555" t="s">
        <v>32</v>
      </c>
      <c r="I555" t="s">
        <v>6</v>
      </c>
      <c r="J555" s="3">
        <v>3500</v>
      </c>
      <c r="K555" t="s">
        <v>22</v>
      </c>
      <c r="L555" t="s">
        <v>1932</v>
      </c>
      <c r="M555" s="4">
        <v>45273</v>
      </c>
    </row>
    <row r="556" spans="1:13" x14ac:dyDescent="0.25">
      <c r="A556">
        <v>56425462</v>
      </c>
      <c r="B556" t="s">
        <v>1933</v>
      </c>
      <c r="C556" t="s">
        <v>1101</v>
      </c>
      <c r="D556" t="s">
        <v>253</v>
      </c>
      <c r="E556" t="s">
        <v>3</v>
      </c>
      <c r="F556" t="s">
        <v>1934</v>
      </c>
      <c r="G556" s="2">
        <v>1</v>
      </c>
      <c r="H556" t="s">
        <v>32</v>
      </c>
      <c r="I556" t="s">
        <v>25</v>
      </c>
      <c r="J556" s="3">
        <v>2000</v>
      </c>
      <c r="K556" t="s">
        <v>22</v>
      </c>
      <c r="L556" t="s">
        <v>1935</v>
      </c>
      <c r="M556" s="4">
        <v>45274</v>
      </c>
    </row>
    <row r="557" spans="1:13" x14ac:dyDescent="0.25">
      <c r="A557">
        <v>56425463</v>
      </c>
      <c r="B557" t="s">
        <v>1936</v>
      </c>
      <c r="C557" t="s">
        <v>1101</v>
      </c>
      <c r="D557" t="s">
        <v>253</v>
      </c>
      <c r="E557" t="s">
        <v>3</v>
      </c>
      <c r="F557" t="s">
        <v>1937</v>
      </c>
      <c r="G557" s="2">
        <v>1</v>
      </c>
      <c r="H557" t="s">
        <v>32</v>
      </c>
      <c r="I557" t="s">
        <v>25</v>
      </c>
      <c r="J557" s="3">
        <v>2000</v>
      </c>
      <c r="K557" t="s">
        <v>22</v>
      </c>
      <c r="L557" t="s">
        <v>1938</v>
      </c>
      <c r="M557" s="4">
        <v>45274</v>
      </c>
    </row>
    <row r="558" spans="1:13" x14ac:dyDescent="0.25">
      <c r="A558">
        <v>56425464</v>
      </c>
      <c r="B558" t="s">
        <v>1939</v>
      </c>
      <c r="C558" t="s">
        <v>424</v>
      </c>
      <c r="D558" t="s">
        <v>263</v>
      </c>
      <c r="E558" t="s">
        <v>3</v>
      </c>
      <c r="F558" t="s">
        <v>1940</v>
      </c>
      <c r="G558" s="2">
        <v>1</v>
      </c>
      <c r="H558" t="s">
        <v>5</v>
      </c>
      <c r="I558" t="s">
        <v>25</v>
      </c>
      <c r="J558" s="3">
        <v>2448</v>
      </c>
      <c r="K558" t="s">
        <v>1941</v>
      </c>
      <c r="L558" t="s">
        <v>1942</v>
      </c>
      <c r="M558" s="4">
        <v>45274</v>
      </c>
    </row>
    <row r="559" spans="1:13" x14ac:dyDescent="0.25">
      <c r="A559">
        <v>56425465</v>
      </c>
      <c r="B559" t="s">
        <v>1943</v>
      </c>
      <c r="C559" t="s">
        <v>424</v>
      </c>
      <c r="D559" t="s">
        <v>263</v>
      </c>
      <c r="E559" t="s">
        <v>3</v>
      </c>
      <c r="F559" t="s">
        <v>1944</v>
      </c>
      <c r="G559" s="2">
        <v>1</v>
      </c>
      <c r="H559" t="s">
        <v>5</v>
      </c>
      <c r="I559" t="s">
        <v>25</v>
      </c>
      <c r="J559" s="3">
        <v>764.95</v>
      </c>
      <c r="K559" t="s">
        <v>1945</v>
      </c>
      <c r="L559" t="s">
        <v>1946</v>
      </c>
      <c r="M559" s="4">
        <v>45274</v>
      </c>
    </row>
    <row r="560" spans="1:13" x14ac:dyDescent="0.25">
      <c r="A560">
        <v>56425466</v>
      </c>
      <c r="B560" t="s">
        <v>1947</v>
      </c>
      <c r="C560" t="s">
        <v>1101</v>
      </c>
      <c r="D560" t="s">
        <v>253</v>
      </c>
      <c r="E560" t="s">
        <v>3</v>
      </c>
      <c r="F560" t="s">
        <v>1948</v>
      </c>
      <c r="G560" s="2">
        <v>1</v>
      </c>
      <c r="H560" t="s">
        <v>32</v>
      </c>
      <c r="I560" t="s">
        <v>25</v>
      </c>
      <c r="J560" s="3">
        <v>2000</v>
      </c>
      <c r="K560" t="s">
        <v>22</v>
      </c>
      <c r="L560" t="s">
        <v>1949</v>
      </c>
      <c r="M560" s="4">
        <v>45274</v>
      </c>
    </row>
    <row r="561" spans="1:13" x14ac:dyDescent="0.25">
      <c r="A561">
        <v>56425559</v>
      </c>
      <c r="B561" t="s">
        <v>1950</v>
      </c>
      <c r="C561" t="s">
        <v>664</v>
      </c>
      <c r="D561" t="s">
        <v>860</v>
      </c>
      <c r="E561" t="s">
        <v>3</v>
      </c>
      <c r="F561" t="s">
        <v>1951</v>
      </c>
      <c r="G561" s="2">
        <v>7700</v>
      </c>
      <c r="H561" t="s">
        <v>5</v>
      </c>
      <c r="I561" t="s">
        <v>25</v>
      </c>
      <c r="J561" s="3">
        <v>7700</v>
      </c>
      <c r="K561" t="s">
        <v>22</v>
      </c>
      <c r="L561" t="s">
        <v>1952</v>
      </c>
      <c r="M561" s="4">
        <v>45274</v>
      </c>
    </row>
    <row r="562" spans="1:13" x14ac:dyDescent="0.25">
      <c r="A562">
        <v>56425568</v>
      </c>
      <c r="B562" t="s">
        <v>1953</v>
      </c>
      <c r="C562" t="s">
        <v>1730</v>
      </c>
      <c r="D562" t="s">
        <v>289</v>
      </c>
      <c r="E562" t="s">
        <v>3</v>
      </c>
      <c r="F562" t="s">
        <v>1954</v>
      </c>
      <c r="G562" s="2">
        <v>3000</v>
      </c>
      <c r="H562" t="s">
        <v>5</v>
      </c>
      <c r="I562" t="s">
        <v>6</v>
      </c>
      <c r="J562" s="3">
        <v>591.9</v>
      </c>
      <c r="K562" t="s">
        <v>1955</v>
      </c>
      <c r="L562" t="s">
        <v>1956</v>
      </c>
      <c r="M562" s="4">
        <v>45274</v>
      </c>
    </row>
    <row r="563" spans="1:13" x14ac:dyDescent="0.25">
      <c r="A563">
        <v>56425569</v>
      </c>
      <c r="B563" t="s">
        <v>1957</v>
      </c>
      <c r="C563" t="s">
        <v>1070</v>
      </c>
      <c r="D563" t="s">
        <v>526</v>
      </c>
      <c r="E563" t="s">
        <v>3</v>
      </c>
      <c r="F563" t="s">
        <v>1958</v>
      </c>
      <c r="G563" s="2">
        <v>800</v>
      </c>
      <c r="H563" t="s">
        <v>32</v>
      </c>
      <c r="I563" t="s">
        <v>6</v>
      </c>
      <c r="J563" s="3">
        <v>1600</v>
      </c>
      <c r="K563" t="s">
        <v>22</v>
      </c>
      <c r="L563" t="s">
        <v>1959</v>
      </c>
      <c r="M563" s="4">
        <v>45274</v>
      </c>
    </row>
    <row r="564" spans="1:13" x14ac:dyDescent="0.25">
      <c r="A564">
        <v>56425570</v>
      </c>
      <c r="B564" t="s">
        <v>1960</v>
      </c>
      <c r="C564" t="s">
        <v>322</v>
      </c>
      <c r="D564" t="s">
        <v>51</v>
      </c>
      <c r="E564" t="s">
        <v>3</v>
      </c>
      <c r="F564" t="s">
        <v>1961</v>
      </c>
      <c r="G564" s="2">
        <v>200</v>
      </c>
      <c r="H564" t="s">
        <v>32</v>
      </c>
      <c r="I564" t="s">
        <v>6</v>
      </c>
      <c r="J564" s="3">
        <v>458.8</v>
      </c>
      <c r="K564" t="s">
        <v>22</v>
      </c>
      <c r="L564" t="s">
        <v>1962</v>
      </c>
      <c r="M564" s="4">
        <v>45274</v>
      </c>
    </row>
    <row r="565" spans="1:13" x14ac:dyDescent="0.25">
      <c r="A565">
        <v>56425571</v>
      </c>
      <c r="B565" t="s">
        <v>1963</v>
      </c>
      <c r="C565" t="s">
        <v>507</v>
      </c>
      <c r="D565" t="s">
        <v>51</v>
      </c>
      <c r="E565" t="s">
        <v>3</v>
      </c>
      <c r="F565" t="s">
        <v>1964</v>
      </c>
      <c r="G565" s="2">
        <v>500</v>
      </c>
      <c r="H565" t="s">
        <v>5</v>
      </c>
      <c r="I565" t="s">
        <v>6</v>
      </c>
      <c r="J565" s="3">
        <v>3700</v>
      </c>
      <c r="K565" t="s">
        <v>22</v>
      </c>
      <c r="L565" t="s">
        <v>1965</v>
      </c>
      <c r="M565" s="4">
        <v>45274</v>
      </c>
    </row>
    <row r="566" spans="1:13" x14ac:dyDescent="0.25">
      <c r="A566">
        <v>56429589</v>
      </c>
      <c r="B566" t="s">
        <v>1966</v>
      </c>
      <c r="C566" t="s">
        <v>312</v>
      </c>
      <c r="D566" t="s">
        <v>289</v>
      </c>
      <c r="E566" t="s">
        <v>3</v>
      </c>
      <c r="F566" t="s">
        <v>1967</v>
      </c>
      <c r="G566" s="2">
        <v>3510</v>
      </c>
      <c r="H566" t="s">
        <v>5</v>
      </c>
      <c r="I566" t="s">
        <v>25</v>
      </c>
      <c r="J566" s="3">
        <v>1523.69</v>
      </c>
      <c r="K566" t="s">
        <v>1968</v>
      </c>
      <c r="L566" t="s">
        <v>1969</v>
      </c>
      <c r="M566" s="4">
        <v>45282</v>
      </c>
    </row>
    <row r="567" spans="1:13" x14ac:dyDescent="0.25">
      <c r="A567">
        <v>56429590</v>
      </c>
      <c r="B567" t="s">
        <v>1970</v>
      </c>
      <c r="C567" t="s">
        <v>312</v>
      </c>
      <c r="D567" t="s">
        <v>289</v>
      </c>
      <c r="E567" t="s">
        <v>3</v>
      </c>
      <c r="F567" t="s">
        <v>1967</v>
      </c>
      <c r="G567" s="2">
        <v>4050</v>
      </c>
      <c r="H567" t="s">
        <v>5</v>
      </c>
      <c r="I567" t="s">
        <v>25</v>
      </c>
      <c r="J567" s="3">
        <v>1758.11</v>
      </c>
      <c r="K567" t="s">
        <v>1968</v>
      </c>
      <c r="L567" t="s">
        <v>1971</v>
      </c>
      <c r="M567" s="4">
        <v>45282</v>
      </c>
    </row>
    <row r="568" spans="1:13" x14ac:dyDescent="0.25">
      <c r="A568">
        <v>56429658</v>
      </c>
      <c r="B568" t="s">
        <v>1972</v>
      </c>
      <c r="C568" t="s">
        <v>1973</v>
      </c>
      <c r="D568" t="s">
        <v>289</v>
      </c>
      <c r="E568" t="s">
        <v>3</v>
      </c>
      <c r="F568" t="s">
        <v>1974</v>
      </c>
      <c r="G568" s="2">
        <v>213</v>
      </c>
      <c r="H568" t="s">
        <v>669</v>
      </c>
      <c r="I568" t="s">
        <v>6</v>
      </c>
      <c r="J568" s="3">
        <v>1895.7</v>
      </c>
      <c r="K568" t="s">
        <v>22</v>
      </c>
      <c r="L568" t="s">
        <v>1975</v>
      </c>
      <c r="M568" s="4">
        <v>45275</v>
      </c>
    </row>
    <row r="569" spans="1:13" x14ac:dyDescent="0.25">
      <c r="A569">
        <v>56429660</v>
      </c>
      <c r="B569" t="s">
        <v>1976</v>
      </c>
      <c r="C569" t="s">
        <v>322</v>
      </c>
      <c r="D569" t="s">
        <v>51</v>
      </c>
      <c r="E569" t="s">
        <v>3</v>
      </c>
      <c r="F569" t="s">
        <v>1977</v>
      </c>
      <c r="G569" s="2">
        <v>452</v>
      </c>
      <c r="H569" t="s">
        <v>5</v>
      </c>
      <c r="I569" t="s">
        <v>6</v>
      </c>
      <c r="J569" s="3">
        <v>298.32</v>
      </c>
      <c r="K569" t="s">
        <v>22</v>
      </c>
      <c r="L569" t="s">
        <v>1978</v>
      </c>
      <c r="M569" s="4">
        <v>45275</v>
      </c>
    </row>
    <row r="570" spans="1:13" x14ac:dyDescent="0.25">
      <c r="A570">
        <v>56431400</v>
      </c>
      <c r="B570" t="s">
        <v>1979</v>
      </c>
      <c r="C570" t="s">
        <v>1980</v>
      </c>
      <c r="D570" t="s">
        <v>51</v>
      </c>
      <c r="E570" t="s">
        <v>3</v>
      </c>
      <c r="F570" t="s">
        <v>1981</v>
      </c>
      <c r="G570" s="2">
        <v>1</v>
      </c>
      <c r="H570" t="s">
        <v>32</v>
      </c>
      <c r="I570" t="s">
        <v>6</v>
      </c>
      <c r="J570" s="3">
        <v>4980</v>
      </c>
      <c r="K570" t="s">
        <v>22</v>
      </c>
      <c r="L570" t="s">
        <v>1982</v>
      </c>
      <c r="M570" s="4">
        <v>45275</v>
      </c>
    </row>
    <row r="571" spans="1:13" x14ac:dyDescent="0.25">
      <c r="A571">
        <v>56432682</v>
      </c>
      <c r="B571" t="s">
        <v>1983</v>
      </c>
      <c r="C571" t="s">
        <v>1984</v>
      </c>
      <c r="D571" t="s">
        <v>75</v>
      </c>
      <c r="E571" t="s">
        <v>3</v>
      </c>
      <c r="F571" t="s">
        <v>685</v>
      </c>
      <c r="G571" s="2">
        <v>24</v>
      </c>
      <c r="H571" t="s">
        <v>32</v>
      </c>
      <c r="I571" t="s">
        <v>6</v>
      </c>
      <c r="J571" s="3">
        <v>577.91999999999996</v>
      </c>
      <c r="K571" t="s">
        <v>22</v>
      </c>
      <c r="L571" t="s">
        <v>1985</v>
      </c>
      <c r="M571" s="4">
        <v>45275</v>
      </c>
    </row>
    <row r="572" spans="1:13" x14ac:dyDescent="0.25">
      <c r="A572">
        <v>56432685</v>
      </c>
      <c r="B572" t="s">
        <v>1986</v>
      </c>
      <c r="C572" t="s">
        <v>435</v>
      </c>
      <c r="D572" t="s">
        <v>2</v>
      </c>
      <c r="E572" t="s">
        <v>3</v>
      </c>
      <c r="F572" t="s">
        <v>1987</v>
      </c>
      <c r="G572" s="2">
        <v>1</v>
      </c>
      <c r="H572" t="s">
        <v>32</v>
      </c>
      <c r="I572" t="s">
        <v>25</v>
      </c>
      <c r="J572" s="3">
        <v>825</v>
      </c>
      <c r="K572" t="s">
        <v>22</v>
      </c>
      <c r="L572" t="s">
        <v>1988</v>
      </c>
      <c r="M572" s="4">
        <v>45275</v>
      </c>
    </row>
    <row r="573" spans="1:13" x14ac:dyDescent="0.25">
      <c r="A573">
        <v>56432686</v>
      </c>
      <c r="B573" t="s">
        <v>1989</v>
      </c>
      <c r="C573" t="s">
        <v>952</v>
      </c>
      <c r="D573" t="s">
        <v>75</v>
      </c>
      <c r="E573" t="s">
        <v>3</v>
      </c>
      <c r="F573" t="s">
        <v>1990</v>
      </c>
      <c r="G573" s="2">
        <v>20</v>
      </c>
      <c r="H573" t="s">
        <v>32</v>
      </c>
      <c r="I573" t="s">
        <v>25</v>
      </c>
      <c r="J573" s="3">
        <v>900</v>
      </c>
      <c r="K573" t="s">
        <v>22</v>
      </c>
      <c r="L573" t="s">
        <v>1991</v>
      </c>
      <c r="M573" s="4">
        <v>45275</v>
      </c>
    </row>
    <row r="574" spans="1:13" x14ac:dyDescent="0.25">
      <c r="A574">
        <v>56432687</v>
      </c>
      <c r="B574" t="s">
        <v>1992</v>
      </c>
      <c r="C574" t="s">
        <v>1993</v>
      </c>
      <c r="D574" t="s">
        <v>215</v>
      </c>
      <c r="E574" t="s">
        <v>3</v>
      </c>
      <c r="F574" t="s">
        <v>1994</v>
      </c>
      <c r="G574" s="2">
        <v>1</v>
      </c>
      <c r="H574" t="s">
        <v>32</v>
      </c>
      <c r="I574" t="s">
        <v>25</v>
      </c>
      <c r="J574" s="3">
        <v>200</v>
      </c>
      <c r="K574" t="s">
        <v>22</v>
      </c>
      <c r="L574" t="s">
        <v>1995</v>
      </c>
      <c r="M574" s="4">
        <v>45275</v>
      </c>
    </row>
    <row r="575" spans="1:13" x14ac:dyDescent="0.25">
      <c r="A575">
        <v>56432688</v>
      </c>
      <c r="B575" t="s">
        <v>1996</v>
      </c>
      <c r="C575" t="s">
        <v>664</v>
      </c>
      <c r="D575" t="s">
        <v>96</v>
      </c>
      <c r="E575" t="s">
        <v>3</v>
      </c>
      <c r="F575" t="s">
        <v>1997</v>
      </c>
      <c r="G575" s="2">
        <v>1</v>
      </c>
      <c r="H575" t="s">
        <v>32</v>
      </c>
      <c r="I575" t="s">
        <v>25</v>
      </c>
      <c r="J575" s="3">
        <v>80480</v>
      </c>
      <c r="K575" t="s">
        <v>22</v>
      </c>
      <c r="L575" t="s">
        <v>1998</v>
      </c>
      <c r="M575" s="4">
        <v>45275</v>
      </c>
    </row>
    <row r="576" spans="1:13" x14ac:dyDescent="0.25">
      <c r="A576">
        <v>56432699</v>
      </c>
      <c r="B576" t="s">
        <v>1999</v>
      </c>
      <c r="C576" t="s">
        <v>2000</v>
      </c>
      <c r="D576" t="s">
        <v>96</v>
      </c>
      <c r="E576" t="s">
        <v>3</v>
      </c>
      <c r="F576" t="s">
        <v>2001</v>
      </c>
      <c r="G576" s="2">
        <v>1</v>
      </c>
      <c r="H576" t="s">
        <v>32</v>
      </c>
      <c r="I576" t="s">
        <v>25</v>
      </c>
      <c r="J576" s="3">
        <v>69100</v>
      </c>
      <c r="K576" t="s">
        <v>22</v>
      </c>
      <c r="L576" t="s">
        <v>2002</v>
      </c>
      <c r="M576" s="4">
        <v>45278</v>
      </c>
    </row>
    <row r="577" spans="1:13" x14ac:dyDescent="0.25">
      <c r="A577">
        <v>56432700</v>
      </c>
      <c r="B577" t="s">
        <v>2003</v>
      </c>
      <c r="C577" t="s">
        <v>2000</v>
      </c>
      <c r="D577" t="s">
        <v>96</v>
      </c>
      <c r="E577" t="s">
        <v>3</v>
      </c>
      <c r="F577" t="s">
        <v>2004</v>
      </c>
      <c r="G577" s="2">
        <v>1</v>
      </c>
      <c r="H577" t="s">
        <v>32</v>
      </c>
      <c r="I577" t="s">
        <v>25</v>
      </c>
      <c r="J577" s="3">
        <v>147200</v>
      </c>
      <c r="K577" t="s">
        <v>22</v>
      </c>
      <c r="L577" t="s">
        <v>2005</v>
      </c>
      <c r="M577" s="4">
        <v>45275</v>
      </c>
    </row>
    <row r="578" spans="1:13" x14ac:dyDescent="0.25">
      <c r="A578">
        <v>56432701</v>
      </c>
      <c r="B578" t="s">
        <v>2006</v>
      </c>
      <c r="C578" t="s">
        <v>1980</v>
      </c>
      <c r="D578" t="s">
        <v>51</v>
      </c>
      <c r="E578" t="s">
        <v>3</v>
      </c>
      <c r="F578" t="s">
        <v>2007</v>
      </c>
      <c r="G578" s="2">
        <v>1</v>
      </c>
      <c r="H578" t="s">
        <v>32</v>
      </c>
      <c r="I578" t="s">
        <v>6</v>
      </c>
      <c r="J578" s="3">
        <v>6600</v>
      </c>
      <c r="K578" t="s">
        <v>22</v>
      </c>
      <c r="L578" t="s">
        <v>2008</v>
      </c>
      <c r="M578" s="4">
        <v>45275</v>
      </c>
    </row>
    <row r="579" spans="1:13" x14ac:dyDescent="0.25">
      <c r="A579">
        <v>56432717</v>
      </c>
      <c r="B579" t="s">
        <v>2009</v>
      </c>
      <c r="C579" t="s">
        <v>799</v>
      </c>
      <c r="D579" t="s">
        <v>96</v>
      </c>
      <c r="E579" t="s">
        <v>3</v>
      </c>
      <c r="F579" t="s">
        <v>800</v>
      </c>
      <c r="G579" s="2">
        <v>200</v>
      </c>
      <c r="H579" t="s">
        <v>32</v>
      </c>
      <c r="I579" t="s">
        <v>6</v>
      </c>
      <c r="J579" s="3">
        <v>600</v>
      </c>
      <c r="K579" t="s">
        <v>22</v>
      </c>
      <c r="L579" t="s">
        <v>2010</v>
      </c>
      <c r="M579" s="4">
        <v>45278</v>
      </c>
    </row>
    <row r="580" spans="1:13" x14ac:dyDescent="0.25">
      <c r="A580">
        <v>56432729</v>
      </c>
      <c r="B580" t="s">
        <v>2011</v>
      </c>
      <c r="C580" t="s">
        <v>22</v>
      </c>
      <c r="D580" t="s">
        <v>253</v>
      </c>
      <c r="E580" t="s">
        <v>3</v>
      </c>
      <c r="F580" t="s">
        <v>2012</v>
      </c>
      <c r="G580" s="2">
        <v>1</v>
      </c>
      <c r="H580" t="s">
        <v>32</v>
      </c>
      <c r="I580" t="s">
        <v>25</v>
      </c>
      <c r="J580" s="3">
        <v>4000</v>
      </c>
      <c r="K580" t="s">
        <v>22</v>
      </c>
      <c r="L580" t="s">
        <v>2013</v>
      </c>
      <c r="M580" s="4">
        <v>45278</v>
      </c>
    </row>
    <row r="581" spans="1:13" x14ac:dyDescent="0.25">
      <c r="A581">
        <v>56460000</v>
      </c>
      <c r="B581" t="s">
        <v>2014</v>
      </c>
      <c r="C581" t="s">
        <v>1157</v>
      </c>
      <c r="D581" t="s">
        <v>896</v>
      </c>
      <c r="E581" t="s">
        <v>3</v>
      </c>
      <c r="F581" t="s">
        <v>2015</v>
      </c>
      <c r="G581" s="2">
        <v>1</v>
      </c>
      <c r="H581" t="s">
        <v>5</v>
      </c>
      <c r="I581" t="s">
        <v>6</v>
      </c>
      <c r="J581" s="3">
        <v>2500</v>
      </c>
      <c r="K581" t="s">
        <v>2016</v>
      </c>
      <c r="L581" t="s">
        <v>2017</v>
      </c>
      <c r="M581" s="4">
        <v>45278</v>
      </c>
    </row>
    <row r="582" spans="1:13" x14ac:dyDescent="0.25">
      <c r="A582">
        <v>56460026</v>
      </c>
      <c r="B582" t="s">
        <v>2018</v>
      </c>
      <c r="C582" t="s">
        <v>503</v>
      </c>
      <c r="D582" t="s">
        <v>51</v>
      </c>
      <c r="E582" t="s">
        <v>3</v>
      </c>
      <c r="F582" t="s">
        <v>806</v>
      </c>
      <c r="G582" s="2">
        <v>1</v>
      </c>
      <c r="H582" t="s">
        <v>32</v>
      </c>
      <c r="I582" t="s">
        <v>25</v>
      </c>
      <c r="J582" s="3">
        <v>250</v>
      </c>
      <c r="K582" t="s">
        <v>22</v>
      </c>
      <c r="L582" t="s">
        <v>2019</v>
      </c>
      <c r="M582" s="4">
        <v>45278</v>
      </c>
    </row>
    <row r="583" spans="1:13" x14ac:dyDescent="0.25">
      <c r="A583">
        <v>56460028</v>
      </c>
      <c r="B583" t="s">
        <v>2020</v>
      </c>
      <c r="C583" t="s">
        <v>1350</v>
      </c>
      <c r="D583" t="s">
        <v>253</v>
      </c>
      <c r="E583" t="s">
        <v>3</v>
      </c>
      <c r="F583" t="s">
        <v>2021</v>
      </c>
      <c r="G583" s="2">
        <v>1</v>
      </c>
      <c r="H583" t="s">
        <v>32</v>
      </c>
      <c r="I583" t="s">
        <v>25</v>
      </c>
      <c r="J583" s="3">
        <v>1500</v>
      </c>
      <c r="K583" t="s">
        <v>22</v>
      </c>
      <c r="L583" t="s">
        <v>2022</v>
      </c>
      <c r="M583" s="4">
        <v>45278</v>
      </c>
    </row>
    <row r="584" spans="1:13" x14ac:dyDescent="0.25">
      <c r="A584">
        <v>56460029</v>
      </c>
      <c r="B584" t="s">
        <v>2023</v>
      </c>
      <c r="C584" t="s">
        <v>1603</v>
      </c>
      <c r="D584" t="s">
        <v>210</v>
      </c>
      <c r="E584" t="s">
        <v>3</v>
      </c>
      <c r="F584" t="s">
        <v>2024</v>
      </c>
      <c r="G584" s="2">
        <v>350</v>
      </c>
      <c r="H584" t="s">
        <v>5</v>
      </c>
      <c r="I584" t="s">
        <v>6</v>
      </c>
      <c r="J584" s="3">
        <v>247.07</v>
      </c>
      <c r="K584" t="s">
        <v>2025</v>
      </c>
      <c r="L584" t="s">
        <v>2026</v>
      </c>
      <c r="M584" s="4">
        <v>45278</v>
      </c>
    </row>
    <row r="585" spans="1:13" x14ac:dyDescent="0.25">
      <c r="A585">
        <v>56460031</v>
      </c>
      <c r="B585" t="s">
        <v>2027</v>
      </c>
      <c r="C585" t="s">
        <v>151</v>
      </c>
      <c r="D585" t="s">
        <v>51</v>
      </c>
      <c r="E585" t="s">
        <v>3</v>
      </c>
      <c r="F585" t="s">
        <v>2028</v>
      </c>
      <c r="G585" s="2">
        <v>120</v>
      </c>
      <c r="H585" t="s">
        <v>32</v>
      </c>
      <c r="I585" t="s">
        <v>25</v>
      </c>
      <c r="J585" s="3">
        <v>1302</v>
      </c>
      <c r="K585" t="s">
        <v>22</v>
      </c>
      <c r="L585" t="s">
        <v>2029</v>
      </c>
      <c r="M585" s="4">
        <v>45278</v>
      </c>
    </row>
    <row r="586" spans="1:13" x14ac:dyDescent="0.25">
      <c r="A586">
        <v>56460032</v>
      </c>
      <c r="B586" t="s">
        <v>2030</v>
      </c>
      <c r="C586" t="s">
        <v>22</v>
      </c>
      <c r="D586" t="s">
        <v>253</v>
      </c>
      <c r="E586" t="s">
        <v>3</v>
      </c>
      <c r="F586" t="s">
        <v>2031</v>
      </c>
      <c r="G586" s="2">
        <v>1</v>
      </c>
      <c r="H586" t="s">
        <v>32</v>
      </c>
      <c r="I586" t="s">
        <v>25</v>
      </c>
      <c r="J586" s="3">
        <v>4900</v>
      </c>
      <c r="K586" t="s">
        <v>22</v>
      </c>
      <c r="L586" t="s">
        <v>2032</v>
      </c>
      <c r="M586" s="4">
        <v>45278</v>
      </c>
    </row>
    <row r="587" spans="1:13" x14ac:dyDescent="0.25">
      <c r="A587">
        <v>56460033</v>
      </c>
      <c r="B587" t="s">
        <v>2033</v>
      </c>
      <c r="C587" t="s">
        <v>22</v>
      </c>
      <c r="D587" t="s">
        <v>253</v>
      </c>
      <c r="E587" t="s">
        <v>3</v>
      </c>
      <c r="F587" t="s">
        <v>2034</v>
      </c>
      <c r="G587" s="2">
        <v>1</v>
      </c>
      <c r="H587" t="s">
        <v>32</v>
      </c>
      <c r="I587" t="s">
        <v>25</v>
      </c>
      <c r="J587" s="3">
        <v>4900</v>
      </c>
      <c r="K587" t="s">
        <v>22</v>
      </c>
      <c r="L587" t="s">
        <v>2035</v>
      </c>
      <c r="M587" s="4">
        <v>45278</v>
      </c>
    </row>
    <row r="588" spans="1:13" x14ac:dyDescent="0.25">
      <c r="A588">
        <v>56460034</v>
      </c>
      <c r="B588" t="s">
        <v>2036</v>
      </c>
      <c r="C588" t="s">
        <v>22</v>
      </c>
      <c r="D588" t="s">
        <v>253</v>
      </c>
      <c r="E588" t="s">
        <v>3</v>
      </c>
      <c r="F588" t="s">
        <v>2037</v>
      </c>
      <c r="G588" s="2">
        <v>1</v>
      </c>
      <c r="H588" t="s">
        <v>32</v>
      </c>
      <c r="I588" t="s">
        <v>25</v>
      </c>
      <c r="J588" s="3">
        <v>4900</v>
      </c>
      <c r="K588" t="s">
        <v>22</v>
      </c>
      <c r="L588" t="s">
        <v>2038</v>
      </c>
      <c r="M588" s="4">
        <v>45278</v>
      </c>
    </row>
    <row r="589" spans="1:13" x14ac:dyDescent="0.25">
      <c r="A589">
        <v>56460035</v>
      </c>
      <c r="B589" t="s">
        <v>2039</v>
      </c>
      <c r="C589" t="s">
        <v>22</v>
      </c>
      <c r="D589" t="s">
        <v>253</v>
      </c>
      <c r="E589" t="s">
        <v>3</v>
      </c>
      <c r="F589" t="s">
        <v>2040</v>
      </c>
      <c r="G589" s="2">
        <v>1</v>
      </c>
      <c r="H589" t="s">
        <v>32</v>
      </c>
      <c r="I589" t="s">
        <v>25</v>
      </c>
      <c r="J589" s="3">
        <v>4800</v>
      </c>
      <c r="K589" t="s">
        <v>22</v>
      </c>
      <c r="L589" t="s">
        <v>2041</v>
      </c>
      <c r="M589" s="4">
        <v>45278</v>
      </c>
    </row>
    <row r="590" spans="1:13" x14ac:dyDescent="0.25">
      <c r="A590">
        <v>56460036</v>
      </c>
      <c r="B590" t="s">
        <v>2042</v>
      </c>
      <c r="C590" t="s">
        <v>1016</v>
      </c>
      <c r="D590" t="s">
        <v>289</v>
      </c>
      <c r="E590" t="s">
        <v>3</v>
      </c>
      <c r="F590" t="s">
        <v>2043</v>
      </c>
      <c r="G590" s="2">
        <v>500</v>
      </c>
      <c r="H590" t="s">
        <v>5</v>
      </c>
      <c r="I590" t="s">
        <v>6</v>
      </c>
      <c r="J590" s="3">
        <v>165</v>
      </c>
      <c r="K590" t="s">
        <v>2044</v>
      </c>
      <c r="L590" t="s">
        <v>2045</v>
      </c>
      <c r="M590" s="4">
        <v>45278</v>
      </c>
    </row>
    <row r="591" spans="1:13" x14ac:dyDescent="0.25">
      <c r="A591">
        <v>56460038</v>
      </c>
      <c r="B591" t="s">
        <v>2046</v>
      </c>
      <c r="C591" t="s">
        <v>22</v>
      </c>
      <c r="D591" t="s">
        <v>148</v>
      </c>
      <c r="E591" t="s">
        <v>3</v>
      </c>
      <c r="F591" t="s">
        <v>2047</v>
      </c>
      <c r="G591" s="2">
        <v>18650</v>
      </c>
      <c r="H591" t="s">
        <v>32</v>
      </c>
      <c r="I591" t="s">
        <v>6</v>
      </c>
      <c r="J591" s="3">
        <v>18650</v>
      </c>
      <c r="K591" t="s">
        <v>22</v>
      </c>
      <c r="L591" t="s">
        <v>2048</v>
      </c>
      <c r="M591" s="4">
        <v>45281</v>
      </c>
    </row>
    <row r="592" spans="1:13" x14ac:dyDescent="0.25">
      <c r="A592">
        <v>56460039</v>
      </c>
      <c r="B592" t="s">
        <v>2049</v>
      </c>
      <c r="C592" t="s">
        <v>2050</v>
      </c>
      <c r="D592" t="s">
        <v>56</v>
      </c>
      <c r="E592" t="s">
        <v>3</v>
      </c>
      <c r="F592" t="s">
        <v>2051</v>
      </c>
      <c r="G592" s="2">
        <v>1</v>
      </c>
      <c r="H592" t="s">
        <v>5</v>
      </c>
      <c r="I592" t="s">
        <v>6</v>
      </c>
      <c r="J592" s="3">
        <v>3000</v>
      </c>
      <c r="K592" t="s">
        <v>2052</v>
      </c>
      <c r="L592" t="s">
        <v>2053</v>
      </c>
      <c r="M592" s="4">
        <v>45278</v>
      </c>
    </row>
    <row r="593" spans="1:13" x14ac:dyDescent="0.25">
      <c r="A593">
        <v>56460040</v>
      </c>
      <c r="B593" t="s">
        <v>2054</v>
      </c>
      <c r="C593" t="s">
        <v>2055</v>
      </c>
      <c r="D593" t="s">
        <v>56</v>
      </c>
      <c r="E593" t="s">
        <v>3</v>
      </c>
      <c r="F593" t="s">
        <v>2056</v>
      </c>
      <c r="G593" s="2">
        <v>1</v>
      </c>
      <c r="H593" t="s">
        <v>5</v>
      </c>
      <c r="I593" t="s">
        <v>6</v>
      </c>
      <c r="J593" s="3">
        <v>3924</v>
      </c>
      <c r="K593" t="s">
        <v>2057</v>
      </c>
      <c r="L593" t="s">
        <v>2058</v>
      </c>
      <c r="M593" s="4">
        <v>45278</v>
      </c>
    </row>
    <row r="594" spans="1:13" x14ac:dyDescent="0.25">
      <c r="A594">
        <v>56460043</v>
      </c>
      <c r="B594" t="s">
        <v>2059</v>
      </c>
      <c r="C594" t="s">
        <v>917</v>
      </c>
      <c r="D594" t="s">
        <v>1004</v>
      </c>
      <c r="E594" t="s">
        <v>3</v>
      </c>
      <c r="F594" t="s">
        <v>920</v>
      </c>
      <c r="G594" s="2">
        <v>94</v>
      </c>
      <c r="H594" t="s">
        <v>5</v>
      </c>
      <c r="I594" t="s">
        <v>25</v>
      </c>
      <c r="J594" s="3">
        <v>1068.78</v>
      </c>
      <c r="K594" t="s">
        <v>921</v>
      </c>
      <c r="L594" t="s">
        <v>2060</v>
      </c>
      <c r="M594" s="4">
        <v>45278</v>
      </c>
    </row>
    <row r="595" spans="1:13" x14ac:dyDescent="0.25">
      <c r="A595">
        <v>56460044</v>
      </c>
      <c r="B595" t="s">
        <v>2061</v>
      </c>
      <c r="C595" t="s">
        <v>2062</v>
      </c>
      <c r="D595" t="s">
        <v>1004</v>
      </c>
      <c r="E595" t="s">
        <v>3</v>
      </c>
      <c r="F595" t="s">
        <v>2063</v>
      </c>
      <c r="G595" s="2">
        <v>300</v>
      </c>
      <c r="H595" t="s">
        <v>5</v>
      </c>
      <c r="I595" t="s">
        <v>25</v>
      </c>
      <c r="J595" s="3">
        <v>864.6</v>
      </c>
      <c r="K595" t="s">
        <v>2064</v>
      </c>
      <c r="L595" t="s">
        <v>2065</v>
      </c>
      <c r="M595" s="4">
        <v>45278</v>
      </c>
    </row>
    <row r="596" spans="1:13" x14ac:dyDescent="0.25">
      <c r="A596">
        <v>56460055</v>
      </c>
      <c r="B596" t="s">
        <v>2066</v>
      </c>
      <c r="C596" t="s">
        <v>530</v>
      </c>
      <c r="D596" t="s">
        <v>75</v>
      </c>
      <c r="E596" t="s">
        <v>3</v>
      </c>
      <c r="F596" t="s">
        <v>2067</v>
      </c>
      <c r="G596" s="2">
        <v>1</v>
      </c>
      <c r="H596" t="s">
        <v>32</v>
      </c>
      <c r="I596" t="s">
        <v>25</v>
      </c>
      <c r="J596" s="3">
        <v>11860</v>
      </c>
      <c r="K596" t="s">
        <v>22</v>
      </c>
      <c r="L596" t="s">
        <v>2068</v>
      </c>
      <c r="M596" s="4">
        <v>45278</v>
      </c>
    </row>
    <row r="597" spans="1:13" x14ac:dyDescent="0.25">
      <c r="A597">
        <v>56460056</v>
      </c>
      <c r="B597" t="s">
        <v>2069</v>
      </c>
      <c r="C597" t="s">
        <v>1070</v>
      </c>
      <c r="D597" t="s">
        <v>253</v>
      </c>
      <c r="E597" t="s">
        <v>3</v>
      </c>
      <c r="F597" t="s">
        <v>2070</v>
      </c>
      <c r="G597" s="2">
        <v>1</v>
      </c>
      <c r="H597" t="s">
        <v>32</v>
      </c>
      <c r="I597" t="s">
        <v>6</v>
      </c>
      <c r="J597" s="3">
        <v>2142</v>
      </c>
      <c r="K597" t="s">
        <v>22</v>
      </c>
      <c r="L597" t="s">
        <v>2071</v>
      </c>
      <c r="M597" s="4">
        <v>45279</v>
      </c>
    </row>
    <row r="598" spans="1:13" x14ac:dyDescent="0.25">
      <c r="A598">
        <v>56460057</v>
      </c>
      <c r="B598" t="s">
        <v>2072</v>
      </c>
      <c r="C598" t="s">
        <v>1546</v>
      </c>
      <c r="D598" t="s">
        <v>253</v>
      </c>
      <c r="E598" t="s">
        <v>3</v>
      </c>
      <c r="F598" t="s">
        <v>2073</v>
      </c>
      <c r="G598" s="2">
        <v>1</v>
      </c>
      <c r="H598" t="s">
        <v>32</v>
      </c>
      <c r="I598" t="s">
        <v>6</v>
      </c>
      <c r="J598" s="3">
        <v>1500</v>
      </c>
      <c r="K598" t="s">
        <v>22</v>
      </c>
      <c r="L598" t="s">
        <v>2074</v>
      </c>
      <c r="M598" s="4">
        <v>45279</v>
      </c>
    </row>
    <row r="599" spans="1:13" x14ac:dyDescent="0.25">
      <c r="A599">
        <v>56463534</v>
      </c>
      <c r="B599" t="s">
        <v>2075</v>
      </c>
      <c r="C599" t="s">
        <v>236</v>
      </c>
      <c r="D599" t="s">
        <v>2076</v>
      </c>
      <c r="E599" t="s">
        <v>3</v>
      </c>
      <c r="F599" t="s">
        <v>2077</v>
      </c>
      <c r="G599" s="2">
        <v>12</v>
      </c>
      <c r="H599" t="s">
        <v>106</v>
      </c>
      <c r="I599" t="s">
        <v>33</v>
      </c>
      <c r="J599" s="3">
        <v>3522.84</v>
      </c>
      <c r="K599" t="s">
        <v>22</v>
      </c>
      <c r="L599" t="s">
        <v>2078</v>
      </c>
      <c r="M599" s="4">
        <v>45281</v>
      </c>
    </row>
    <row r="600" spans="1:13" x14ac:dyDescent="0.25">
      <c r="A600">
        <v>56463535</v>
      </c>
      <c r="B600" t="s">
        <v>2079</v>
      </c>
      <c r="C600" t="s">
        <v>236</v>
      </c>
      <c r="D600" t="s">
        <v>756</v>
      </c>
      <c r="E600" t="s">
        <v>3</v>
      </c>
      <c r="F600" t="s">
        <v>2080</v>
      </c>
      <c r="G600" s="2">
        <v>12</v>
      </c>
      <c r="H600" t="s">
        <v>106</v>
      </c>
      <c r="I600" t="s">
        <v>33</v>
      </c>
      <c r="J600" s="3">
        <v>4317.6000000000004</v>
      </c>
      <c r="K600" t="s">
        <v>22</v>
      </c>
      <c r="L600" t="s">
        <v>2081</v>
      </c>
      <c r="M600" s="4">
        <v>45281</v>
      </c>
    </row>
    <row r="601" spans="1:13" x14ac:dyDescent="0.25">
      <c r="A601">
        <v>56463536</v>
      </c>
      <c r="B601" t="s">
        <v>2082</v>
      </c>
      <c r="C601" t="s">
        <v>236</v>
      </c>
      <c r="D601" t="s">
        <v>263</v>
      </c>
      <c r="E601" t="s">
        <v>3</v>
      </c>
      <c r="F601" t="s">
        <v>2083</v>
      </c>
      <c r="G601" s="2">
        <v>12</v>
      </c>
      <c r="H601" t="s">
        <v>106</v>
      </c>
      <c r="I601" t="s">
        <v>33</v>
      </c>
      <c r="J601" s="3">
        <v>3559.68</v>
      </c>
      <c r="K601" t="s">
        <v>22</v>
      </c>
      <c r="L601" t="s">
        <v>2084</v>
      </c>
      <c r="M601" s="4">
        <v>45280</v>
      </c>
    </row>
    <row r="602" spans="1:13" x14ac:dyDescent="0.25">
      <c r="A602">
        <v>56463617</v>
      </c>
      <c r="B602" t="s">
        <v>2085</v>
      </c>
      <c r="C602" t="s">
        <v>236</v>
      </c>
      <c r="D602" t="s">
        <v>896</v>
      </c>
      <c r="E602" t="s">
        <v>3</v>
      </c>
      <c r="F602" t="s">
        <v>2086</v>
      </c>
      <c r="G602" s="2">
        <v>12</v>
      </c>
      <c r="H602" t="s">
        <v>106</v>
      </c>
      <c r="I602" t="s">
        <v>33</v>
      </c>
      <c r="J602" s="3">
        <v>4657.68</v>
      </c>
      <c r="K602" t="s">
        <v>22</v>
      </c>
      <c r="L602" t="s">
        <v>2087</v>
      </c>
      <c r="M602" s="4">
        <v>45281</v>
      </c>
    </row>
    <row r="603" spans="1:13" x14ac:dyDescent="0.25">
      <c r="A603">
        <v>56463618</v>
      </c>
      <c r="B603" t="s">
        <v>2088</v>
      </c>
      <c r="C603" t="s">
        <v>236</v>
      </c>
      <c r="D603" t="s">
        <v>155</v>
      </c>
      <c r="E603" t="s">
        <v>3</v>
      </c>
      <c r="F603" t="s">
        <v>2089</v>
      </c>
      <c r="G603" s="2">
        <v>12</v>
      </c>
      <c r="H603" t="s">
        <v>106</v>
      </c>
      <c r="I603" t="s">
        <v>33</v>
      </c>
      <c r="J603" s="3">
        <v>3559.68</v>
      </c>
      <c r="K603" t="s">
        <v>22</v>
      </c>
      <c r="L603" t="s">
        <v>2090</v>
      </c>
      <c r="M603" s="4">
        <v>45281</v>
      </c>
    </row>
    <row r="604" spans="1:13" x14ac:dyDescent="0.25">
      <c r="A604">
        <v>56463619</v>
      </c>
      <c r="B604" t="s">
        <v>2091</v>
      </c>
      <c r="C604" t="s">
        <v>236</v>
      </c>
      <c r="D604" t="s">
        <v>526</v>
      </c>
      <c r="E604" t="s">
        <v>3</v>
      </c>
      <c r="F604" t="s">
        <v>2092</v>
      </c>
      <c r="G604" s="2">
        <v>12</v>
      </c>
      <c r="H604" t="s">
        <v>106</v>
      </c>
      <c r="I604" t="s">
        <v>33</v>
      </c>
      <c r="J604" s="3">
        <v>3559.68</v>
      </c>
      <c r="K604" t="s">
        <v>22</v>
      </c>
      <c r="L604" t="s">
        <v>2093</v>
      </c>
      <c r="M604" s="4">
        <v>45281</v>
      </c>
    </row>
    <row r="605" spans="1:13" x14ac:dyDescent="0.25">
      <c r="A605">
        <v>56463627</v>
      </c>
      <c r="B605" t="s">
        <v>2094</v>
      </c>
      <c r="C605" t="s">
        <v>236</v>
      </c>
      <c r="D605" t="s">
        <v>860</v>
      </c>
      <c r="E605" t="s">
        <v>3</v>
      </c>
      <c r="F605" t="s">
        <v>2095</v>
      </c>
      <c r="G605" s="2">
        <v>12</v>
      </c>
      <c r="H605" t="s">
        <v>106</v>
      </c>
      <c r="I605" t="s">
        <v>33</v>
      </c>
      <c r="J605" s="3">
        <v>3560.28</v>
      </c>
      <c r="K605" t="s">
        <v>22</v>
      </c>
      <c r="L605" t="s">
        <v>2096</v>
      </c>
      <c r="M605" s="4">
        <v>45281</v>
      </c>
    </row>
    <row r="606" spans="1:13" x14ac:dyDescent="0.25">
      <c r="A606">
        <v>56463652</v>
      </c>
      <c r="B606" t="s">
        <v>2097</v>
      </c>
      <c r="C606" t="s">
        <v>65</v>
      </c>
      <c r="D606" t="s">
        <v>56</v>
      </c>
      <c r="E606" t="s">
        <v>3</v>
      </c>
      <c r="F606" t="s">
        <v>2098</v>
      </c>
      <c r="G606" s="2">
        <v>420</v>
      </c>
      <c r="H606" t="s">
        <v>5</v>
      </c>
      <c r="I606" t="s">
        <v>6</v>
      </c>
      <c r="J606" s="3">
        <v>997.5</v>
      </c>
      <c r="K606" t="s">
        <v>2099</v>
      </c>
      <c r="L606" t="s">
        <v>2100</v>
      </c>
      <c r="M606" s="4">
        <v>45279</v>
      </c>
    </row>
    <row r="607" spans="1:13" x14ac:dyDescent="0.25">
      <c r="A607">
        <v>56463653</v>
      </c>
      <c r="B607" t="s">
        <v>2101</v>
      </c>
      <c r="C607" t="s">
        <v>65</v>
      </c>
      <c r="D607" t="s">
        <v>56</v>
      </c>
      <c r="E607" t="s">
        <v>3</v>
      </c>
      <c r="F607" t="s">
        <v>2098</v>
      </c>
      <c r="G607" s="2">
        <v>700</v>
      </c>
      <c r="H607" t="s">
        <v>5</v>
      </c>
      <c r="I607" t="s">
        <v>6</v>
      </c>
      <c r="J607" s="3">
        <v>997.5</v>
      </c>
      <c r="K607" t="s">
        <v>2099</v>
      </c>
      <c r="L607" t="s">
        <v>2102</v>
      </c>
      <c r="M607" s="4">
        <v>45279</v>
      </c>
    </row>
    <row r="608" spans="1:13" x14ac:dyDescent="0.25">
      <c r="A608">
        <v>56463654</v>
      </c>
      <c r="B608" t="s">
        <v>2103</v>
      </c>
      <c r="C608" t="s">
        <v>65</v>
      </c>
      <c r="D608" t="s">
        <v>56</v>
      </c>
      <c r="E608" t="s">
        <v>3</v>
      </c>
      <c r="F608" t="s">
        <v>2104</v>
      </c>
      <c r="G608" s="2">
        <v>3920</v>
      </c>
      <c r="H608" t="s">
        <v>5</v>
      </c>
      <c r="I608" t="s">
        <v>6</v>
      </c>
      <c r="J608" s="3">
        <v>901.6</v>
      </c>
      <c r="K608" t="s">
        <v>22</v>
      </c>
      <c r="L608" t="s">
        <v>2105</v>
      </c>
      <c r="M608" s="4">
        <v>45279</v>
      </c>
    </row>
    <row r="609" spans="1:13" x14ac:dyDescent="0.25">
      <c r="A609">
        <v>56463655</v>
      </c>
      <c r="B609" t="s">
        <v>2106</v>
      </c>
      <c r="C609" t="s">
        <v>65</v>
      </c>
      <c r="D609" t="s">
        <v>56</v>
      </c>
      <c r="E609" t="s">
        <v>3</v>
      </c>
      <c r="F609" t="s">
        <v>2104</v>
      </c>
      <c r="G609" s="2">
        <v>3920</v>
      </c>
      <c r="H609" t="s">
        <v>5</v>
      </c>
      <c r="I609" t="s">
        <v>6</v>
      </c>
      <c r="J609" s="3">
        <v>997.25</v>
      </c>
      <c r="K609" t="s">
        <v>22</v>
      </c>
      <c r="L609" t="s">
        <v>2107</v>
      </c>
      <c r="M609" s="4">
        <v>45279</v>
      </c>
    </row>
    <row r="610" spans="1:13" x14ac:dyDescent="0.25">
      <c r="A610">
        <v>56463656</v>
      </c>
      <c r="B610" t="s">
        <v>2108</v>
      </c>
      <c r="C610" t="s">
        <v>65</v>
      </c>
      <c r="D610" t="s">
        <v>56</v>
      </c>
      <c r="E610" t="s">
        <v>3</v>
      </c>
      <c r="F610" t="s">
        <v>2104</v>
      </c>
      <c r="G610" s="2">
        <v>13160</v>
      </c>
      <c r="H610" t="s">
        <v>5</v>
      </c>
      <c r="I610" t="s">
        <v>6</v>
      </c>
      <c r="J610" s="3">
        <v>2600.02</v>
      </c>
      <c r="K610" t="s">
        <v>22</v>
      </c>
      <c r="L610" t="s">
        <v>2109</v>
      </c>
      <c r="M610" s="4">
        <v>45279</v>
      </c>
    </row>
    <row r="611" spans="1:13" x14ac:dyDescent="0.25">
      <c r="A611">
        <v>56463675</v>
      </c>
      <c r="B611" t="s">
        <v>2110</v>
      </c>
      <c r="C611" t="s">
        <v>83</v>
      </c>
      <c r="D611" t="s">
        <v>2</v>
      </c>
      <c r="E611" t="s">
        <v>3</v>
      </c>
      <c r="F611" t="s">
        <v>2111</v>
      </c>
      <c r="G611" s="2">
        <v>1</v>
      </c>
      <c r="H611" t="s">
        <v>32</v>
      </c>
      <c r="I611" t="s">
        <v>25</v>
      </c>
      <c r="J611" s="3">
        <v>12096</v>
      </c>
      <c r="K611" t="s">
        <v>22</v>
      </c>
      <c r="L611" t="s">
        <v>2112</v>
      </c>
      <c r="M611" s="4">
        <v>45280</v>
      </c>
    </row>
    <row r="612" spans="1:13" x14ac:dyDescent="0.25">
      <c r="A612">
        <v>56463676</v>
      </c>
      <c r="B612" t="s">
        <v>2113</v>
      </c>
      <c r="C612" t="s">
        <v>22</v>
      </c>
      <c r="D612" t="s">
        <v>1582</v>
      </c>
      <c r="E612" t="s">
        <v>3</v>
      </c>
      <c r="F612" t="s">
        <v>1526</v>
      </c>
      <c r="G612" s="2">
        <v>1</v>
      </c>
      <c r="H612" t="s">
        <v>5</v>
      </c>
      <c r="I612" t="s">
        <v>25</v>
      </c>
      <c r="J612" s="3">
        <v>180</v>
      </c>
      <c r="K612" t="s">
        <v>1664</v>
      </c>
      <c r="L612" t="s">
        <v>2114</v>
      </c>
      <c r="M612" s="4">
        <v>45280</v>
      </c>
    </row>
    <row r="613" spans="1:13" x14ac:dyDescent="0.25">
      <c r="A613">
        <v>56463677</v>
      </c>
      <c r="B613" t="s">
        <v>2115</v>
      </c>
      <c r="C613" t="s">
        <v>65</v>
      </c>
      <c r="D613" t="s">
        <v>56</v>
      </c>
      <c r="E613" t="s">
        <v>3</v>
      </c>
      <c r="F613" t="s">
        <v>2104</v>
      </c>
      <c r="G613" s="2">
        <v>2800</v>
      </c>
      <c r="H613" t="s">
        <v>5</v>
      </c>
      <c r="I613" t="s">
        <v>6</v>
      </c>
      <c r="J613" s="3">
        <v>997.5</v>
      </c>
      <c r="K613" t="s">
        <v>22</v>
      </c>
      <c r="L613" t="s">
        <v>2116</v>
      </c>
      <c r="M613" s="4">
        <v>45279</v>
      </c>
    </row>
    <row r="614" spans="1:13" x14ac:dyDescent="0.25">
      <c r="A614">
        <v>56463682</v>
      </c>
      <c r="B614" t="s">
        <v>2117</v>
      </c>
      <c r="C614" t="s">
        <v>521</v>
      </c>
      <c r="D614" t="s">
        <v>51</v>
      </c>
      <c r="E614" t="s">
        <v>3</v>
      </c>
      <c r="F614" t="s">
        <v>534</v>
      </c>
      <c r="G614" s="2">
        <v>4000</v>
      </c>
      <c r="H614" t="s">
        <v>535</v>
      </c>
      <c r="I614" t="s">
        <v>25</v>
      </c>
      <c r="J614" s="3">
        <v>1002.24</v>
      </c>
      <c r="K614" t="s">
        <v>22</v>
      </c>
      <c r="L614" t="s">
        <v>2118</v>
      </c>
      <c r="M614" s="4">
        <v>45279</v>
      </c>
    </row>
    <row r="615" spans="1:13" x14ac:dyDescent="0.25">
      <c r="A615">
        <v>56463698</v>
      </c>
      <c r="B615" t="s">
        <v>2119</v>
      </c>
      <c r="C615" t="s">
        <v>236</v>
      </c>
      <c r="D615" t="s">
        <v>2120</v>
      </c>
      <c r="E615" t="s">
        <v>3</v>
      </c>
      <c r="F615" t="s">
        <v>2121</v>
      </c>
      <c r="G615" s="2">
        <v>12</v>
      </c>
      <c r="H615" t="s">
        <v>106</v>
      </c>
      <c r="I615" t="s">
        <v>33</v>
      </c>
      <c r="J615" s="3">
        <v>3522.84</v>
      </c>
      <c r="K615" t="s">
        <v>22</v>
      </c>
      <c r="L615" t="s">
        <v>2122</v>
      </c>
      <c r="M615" s="4">
        <v>45280</v>
      </c>
    </row>
    <row r="616" spans="1:13" x14ac:dyDescent="0.25">
      <c r="A616">
        <v>56463699</v>
      </c>
      <c r="B616" t="s">
        <v>2123</v>
      </c>
      <c r="C616" t="s">
        <v>236</v>
      </c>
      <c r="D616" t="s">
        <v>61</v>
      </c>
      <c r="E616" t="s">
        <v>3</v>
      </c>
      <c r="F616" t="s">
        <v>2124</v>
      </c>
      <c r="G616" s="2">
        <v>12</v>
      </c>
      <c r="H616" t="s">
        <v>106</v>
      </c>
      <c r="I616" t="s">
        <v>33</v>
      </c>
      <c r="J616" s="3">
        <v>3522.84</v>
      </c>
      <c r="K616" t="s">
        <v>22</v>
      </c>
      <c r="L616" t="s">
        <v>2125</v>
      </c>
      <c r="M616" s="4">
        <v>45280</v>
      </c>
    </row>
    <row r="617" spans="1:13" x14ac:dyDescent="0.25">
      <c r="A617">
        <v>56463700</v>
      </c>
      <c r="B617" t="s">
        <v>2126</v>
      </c>
      <c r="C617" t="s">
        <v>236</v>
      </c>
      <c r="D617" t="s">
        <v>2127</v>
      </c>
      <c r="E617" t="s">
        <v>3</v>
      </c>
      <c r="F617" t="s">
        <v>2128</v>
      </c>
      <c r="G617" s="2">
        <v>24</v>
      </c>
      <c r="H617" t="s">
        <v>106</v>
      </c>
      <c r="I617" t="s">
        <v>33</v>
      </c>
      <c r="J617" s="3">
        <v>10595.28</v>
      </c>
      <c r="K617" t="s">
        <v>22</v>
      </c>
      <c r="L617" t="s">
        <v>2129</v>
      </c>
      <c r="M617" s="4">
        <v>45280</v>
      </c>
    </row>
    <row r="618" spans="1:13" x14ac:dyDescent="0.25">
      <c r="A618">
        <v>56463701</v>
      </c>
      <c r="B618" t="s">
        <v>2130</v>
      </c>
      <c r="C618" t="s">
        <v>236</v>
      </c>
      <c r="D618" t="s">
        <v>23</v>
      </c>
      <c r="E618" t="s">
        <v>3</v>
      </c>
      <c r="F618" t="s">
        <v>2131</v>
      </c>
      <c r="G618" s="2">
        <v>12</v>
      </c>
      <c r="H618" t="s">
        <v>106</v>
      </c>
      <c r="I618" t="s">
        <v>33</v>
      </c>
      <c r="J618" s="3">
        <v>3522.84</v>
      </c>
      <c r="K618" t="s">
        <v>22</v>
      </c>
      <c r="L618" t="s">
        <v>2132</v>
      </c>
      <c r="M618" s="4">
        <v>45280</v>
      </c>
    </row>
    <row r="619" spans="1:13" x14ac:dyDescent="0.25">
      <c r="A619">
        <v>56463702</v>
      </c>
      <c r="B619" t="s">
        <v>2133</v>
      </c>
      <c r="C619" t="s">
        <v>236</v>
      </c>
      <c r="D619" t="s">
        <v>253</v>
      </c>
      <c r="E619" t="s">
        <v>3</v>
      </c>
      <c r="F619" t="s">
        <v>2134</v>
      </c>
      <c r="G619" s="2">
        <v>12</v>
      </c>
      <c r="H619" t="s">
        <v>106</v>
      </c>
      <c r="I619" t="s">
        <v>33</v>
      </c>
      <c r="J619" s="3">
        <v>3522.84</v>
      </c>
      <c r="K619" t="s">
        <v>22</v>
      </c>
      <c r="L619" t="s">
        <v>2135</v>
      </c>
      <c r="M619" s="4">
        <v>45280</v>
      </c>
    </row>
    <row r="620" spans="1:13" x14ac:dyDescent="0.25">
      <c r="A620">
        <v>56463703</v>
      </c>
      <c r="B620" t="s">
        <v>2136</v>
      </c>
      <c r="C620" t="s">
        <v>236</v>
      </c>
      <c r="D620" t="s">
        <v>56</v>
      </c>
      <c r="E620" t="s">
        <v>3</v>
      </c>
      <c r="F620" t="s">
        <v>2137</v>
      </c>
      <c r="G620" s="2">
        <v>12</v>
      </c>
      <c r="H620" t="s">
        <v>106</v>
      </c>
      <c r="I620" t="s">
        <v>33</v>
      </c>
      <c r="J620" s="3">
        <v>3559.68</v>
      </c>
      <c r="K620" t="s">
        <v>22</v>
      </c>
      <c r="L620" t="s">
        <v>2138</v>
      </c>
      <c r="M620" s="4">
        <v>45280</v>
      </c>
    </row>
    <row r="621" spans="1:13" x14ac:dyDescent="0.25">
      <c r="A621">
        <v>56463737</v>
      </c>
      <c r="B621" t="s">
        <v>2139</v>
      </c>
      <c r="C621" t="s">
        <v>22</v>
      </c>
      <c r="D621" t="s">
        <v>1582</v>
      </c>
      <c r="E621" t="s">
        <v>3</v>
      </c>
      <c r="F621" t="s">
        <v>1670</v>
      </c>
      <c r="G621" s="2">
        <v>1</v>
      </c>
      <c r="H621" t="s">
        <v>5</v>
      </c>
      <c r="I621" t="s">
        <v>25</v>
      </c>
      <c r="J621" s="3">
        <v>1000</v>
      </c>
      <c r="K621" t="s">
        <v>2140</v>
      </c>
      <c r="L621" t="s">
        <v>2141</v>
      </c>
      <c r="M621" s="4">
        <v>45280</v>
      </c>
    </row>
    <row r="622" spans="1:13" x14ac:dyDescent="0.25">
      <c r="A622">
        <v>56463738</v>
      </c>
      <c r="B622" t="s">
        <v>2142</v>
      </c>
      <c r="C622" t="s">
        <v>22</v>
      </c>
      <c r="D622" t="s">
        <v>1582</v>
      </c>
      <c r="E622" t="s">
        <v>3</v>
      </c>
      <c r="F622" t="s">
        <v>1670</v>
      </c>
      <c r="G622" s="2">
        <v>1</v>
      </c>
      <c r="H622" t="s">
        <v>5</v>
      </c>
      <c r="I622" t="s">
        <v>25</v>
      </c>
      <c r="J622" s="3">
        <v>1000</v>
      </c>
      <c r="K622" t="s">
        <v>2143</v>
      </c>
      <c r="L622" t="s">
        <v>2144</v>
      </c>
      <c r="M622" s="4">
        <v>45280</v>
      </c>
    </row>
    <row r="623" spans="1:13" x14ac:dyDescent="0.25">
      <c r="A623">
        <v>56463739</v>
      </c>
      <c r="B623" t="s">
        <v>2145</v>
      </c>
      <c r="C623" t="s">
        <v>22</v>
      </c>
      <c r="D623" t="s">
        <v>1582</v>
      </c>
      <c r="E623" t="s">
        <v>3</v>
      </c>
      <c r="F623" t="s">
        <v>1670</v>
      </c>
      <c r="G623" s="2">
        <v>1</v>
      </c>
      <c r="H623" t="s">
        <v>5</v>
      </c>
      <c r="I623" t="s">
        <v>25</v>
      </c>
      <c r="J623" s="3">
        <v>1000</v>
      </c>
      <c r="K623" t="s">
        <v>1671</v>
      </c>
      <c r="L623" t="s">
        <v>2146</v>
      </c>
      <c r="M623" s="4">
        <v>45280</v>
      </c>
    </row>
    <row r="624" spans="1:13" x14ac:dyDescent="0.25">
      <c r="A624">
        <v>56470194</v>
      </c>
      <c r="B624" t="s">
        <v>2147</v>
      </c>
      <c r="C624" t="s">
        <v>1723</v>
      </c>
      <c r="D624" t="s">
        <v>155</v>
      </c>
      <c r="E624" t="s">
        <v>3</v>
      </c>
      <c r="F624" t="s">
        <v>2148</v>
      </c>
      <c r="G624" s="2">
        <v>1</v>
      </c>
      <c r="H624" t="s">
        <v>13</v>
      </c>
      <c r="I624" t="s">
        <v>25</v>
      </c>
      <c r="J624" s="3">
        <v>250</v>
      </c>
      <c r="K624" t="s">
        <v>2149</v>
      </c>
      <c r="L624" t="s">
        <v>2150</v>
      </c>
      <c r="M624" s="4">
        <v>45281</v>
      </c>
    </row>
    <row r="625" spans="1:13" x14ac:dyDescent="0.25">
      <c r="A625">
        <v>56470286</v>
      </c>
      <c r="B625" t="s">
        <v>2151</v>
      </c>
      <c r="C625" t="s">
        <v>1546</v>
      </c>
      <c r="D625" t="s">
        <v>61</v>
      </c>
      <c r="E625" t="s">
        <v>3</v>
      </c>
      <c r="F625" t="s">
        <v>2152</v>
      </c>
      <c r="G625" s="2">
        <v>1</v>
      </c>
      <c r="H625" t="s">
        <v>32</v>
      </c>
      <c r="I625" t="s">
        <v>25</v>
      </c>
      <c r="J625" s="3">
        <v>4500</v>
      </c>
      <c r="K625" t="s">
        <v>22</v>
      </c>
      <c r="L625" t="s">
        <v>2153</v>
      </c>
      <c r="M625" s="4">
        <v>45280</v>
      </c>
    </row>
    <row r="626" spans="1:13" x14ac:dyDescent="0.25">
      <c r="A626">
        <v>56470287</v>
      </c>
      <c r="B626" t="s">
        <v>2154</v>
      </c>
      <c r="C626" t="s">
        <v>594</v>
      </c>
      <c r="D626" t="s">
        <v>756</v>
      </c>
      <c r="E626" t="s">
        <v>3</v>
      </c>
      <c r="F626" t="s">
        <v>2155</v>
      </c>
      <c r="G626" s="2">
        <v>10000</v>
      </c>
      <c r="H626" t="s">
        <v>5</v>
      </c>
      <c r="I626" t="s">
        <v>25</v>
      </c>
      <c r="J626" s="3">
        <v>4938.8999999999996</v>
      </c>
      <c r="K626" t="s">
        <v>2156</v>
      </c>
      <c r="L626" t="s">
        <v>2157</v>
      </c>
      <c r="M626" s="4">
        <v>45281</v>
      </c>
    </row>
    <row r="627" spans="1:13" x14ac:dyDescent="0.25">
      <c r="A627">
        <v>56470288</v>
      </c>
      <c r="B627" t="s">
        <v>2158</v>
      </c>
      <c r="C627" t="s">
        <v>22</v>
      </c>
      <c r="D627" t="s">
        <v>61</v>
      </c>
      <c r="E627" t="s">
        <v>3</v>
      </c>
      <c r="F627" t="s">
        <v>2159</v>
      </c>
      <c r="G627" s="2">
        <v>1</v>
      </c>
      <c r="H627" t="s">
        <v>32</v>
      </c>
      <c r="I627" t="s">
        <v>25</v>
      </c>
      <c r="J627" s="3">
        <v>1500</v>
      </c>
      <c r="K627" t="s">
        <v>22</v>
      </c>
      <c r="L627" t="s">
        <v>2160</v>
      </c>
      <c r="M627" s="4">
        <v>45280</v>
      </c>
    </row>
    <row r="628" spans="1:13" x14ac:dyDescent="0.25">
      <c r="A628">
        <v>56470289</v>
      </c>
      <c r="B628" t="s">
        <v>2161</v>
      </c>
      <c r="C628" t="s">
        <v>22</v>
      </c>
      <c r="D628" t="s">
        <v>61</v>
      </c>
      <c r="E628" t="s">
        <v>3</v>
      </c>
      <c r="F628" t="s">
        <v>2162</v>
      </c>
      <c r="G628" s="2">
        <v>1</v>
      </c>
      <c r="H628" t="s">
        <v>32</v>
      </c>
      <c r="I628" t="s">
        <v>25</v>
      </c>
      <c r="J628" s="3">
        <v>1500</v>
      </c>
      <c r="K628" t="s">
        <v>22</v>
      </c>
      <c r="L628" t="s">
        <v>2163</v>
      </c>
      <c r="M628" s="4">
        <v>45280</v>
      </c>
    </row>
    <row r="629" spans="1:13" x14ac:dyDescent="0.25">
      <c r="A629">
        <v>56470291</v>
      </c>
      <c r="B629" t="s">
        <v>2164</v>
      </c>
      <c r="C629" t="s">
        <v>1222</v>
      </c>
      <c r="D629" t="s">
        <v>148</v>
      </c>
      <c r="E629" t="s">
        <v>3</v>
      </c>
      <c r="F629" t="s">
        <v>2165</v>
      </c>
      <c r="G629" s="2">
        <v>1</v>
      </c>
      <c r="H629" t="s">
        <v>32</v>
      </c>
      <c r="I629" t="s">
        <v>117</v>
      </c>
      <c r="J629" s="3">
        <v>432000</v>
      </c>
      <c r="K629" t="s">
        <v>22</v>
      </c>
      <c r="L629" t="s">
        <v>2166</v>
      </c>
      <c r="M629" s="4">
        <v>45281</v>
      </c>
    </row>
    <row r="630" spans="1:13" x14ac:dyDescent="0.25">
      <c r="A630">
        <v>56470293</v>
      </c>
      <c r="B630" t="s">
        <v>2167</v>
      </c>
      <c r="C630" t="s">
        <v>65</v>
      </c>
      <c r="D630" t="s">
        <v>61</v>
      </c>
      <c r="E630" t="s">
        <v>3</v>
      </c>
      <c r="F630" t="s">
        <v>2168</v>
      </c>
      <c r="G630" s="2">
        <v>1</v>
      </c>
      <c r="H630" t="s">
        <v>32</v>
      </c>
      <c r="I630" t="s">
        <v>6</v>
      </c>
      <c r="J630" s="3">
        <v>1500</v>
      </c>
      <c r="K630" t="s">
        <v>22</v>
      </c>
      <c r="L630" t="s">
        <v>2169</v>
      </c>
      <c r="M630" s="4">
        <v>45280</v>
      </c>
    </row>
    <row r="631" spans="1:13" x14ac:dyDescent="0.25">
      <c r="A631">
        <v>56470368</v>
      </c>
      <c r="B631" t="s">
        <v>2170</v>
      </c>
      <c r="C631" t="s">
        <v>424</v>
      </c>
      <c r="D631" t="s">
        <v>56</v>
      </c>
      <c r="E631" t="s">
        <v>3</v>
      </c>
      <c r="F631" t="s">
        <v>2171</v>
      </c>
      <c r="G631" s="2">
        <v>1</v>
      </c>
      <c r="H631" t="s">
        <v>5</v>
      </c>
      <c r="I631" t="s">
        <v>6</v>
      </c>
      <c r="J631" s="3">
        <v>1686.75</v>
      </c>
      <c r="K631" t="s">
        <v>2172</v>
      </c>
      <c r="L631" t="s">
        <v>2173</v>
      </c>
      <c r="M631" s="4">
        <v>45280</v>
      </c>
    </row>
    <row r="632" spans="1:13" x14ac:dyDescent="0.25">
      <c r="A632">
        <v>56470369</v>
      </c>
      <c r="B632" t="s">
        <v>2174</v>
      </c>
      <c r="C632" t="s">
        <v>45</v>
      </c>
      <c r="D632" t="s">
        <v>56</v>
      </c>
      <c r="E632" t="s">
        <v>3</v>
      </c>
      <c r="F632" t="s">
        <v>2175</v>
      </c>
      <c r="G632" s="2">
        <v>1</v>
      </c>
      <c r="H632" t="s">
        <v>5</v>
      </c>
      <c r="I632" t="s">
        <v>6</v>
      </c>
      <c r="J632" s="3">
        <v>500</v>
      </c>
      <c r="K632" t="s">
        <v>2176</v>
      </c>
      <c r="L632" t="s">
        <v>2177</v>
      </c>
      <c r="M632" s="4">
        <v>45280</v>
      </c>
    </row>
    <row r="633" spans="1:13" x14ac:dyDescent="0.25">
      <c r="A633">
        <v>56470370</v>
      </c>
      <c r="B633" t="s">
        <v>2178</v>
      </c>
      <c r="C633" t="s">
        <v>65</v>
      </c>
      <c r="D633" t="s">
        <v>2179</v>
      </c>
      <c r="E633" t="s">
        <v>3</v>
      </c>
      <c r="F633" t="s">
        <v>2180</v>
      </c>
      <c r="G633" s="2">
        <v>1</v>
      </c>
      <c r="H633" t="s">
        <v>5</v>
      </c>
      <c r="I633" t="s">
        <v>6</v>
      </c>
      <c r="J633" s="3">
        <v>1500</v>
      </c>
      <c r="K633" t="s">
        <v>2181</v>
      </c>
      <c r="L633" t="s">
        <v>2182</v>
      </c>
      <c r="M633" s="4">
        <v>45280</v>
      </c>
    </row>
    <row r="634" spans="1:13" x14ac:dyDescent="0.25">
      <c r="A634">
        <v>56470371</v>
      </c>
      <c r="B634" t="s">
        <v>2183</v>
      </c>
      <c r="C634" t="s">
        <v>65</v>
      </c>
      <c r="D634" t="s">
        <v>2179</v>
      </c>
      <c r="E634" t="s">
        <v>3</v>
      </c>
      <c r="F634" t="s">
        <v>2184</v>
      </c>
      <c r="G634" s="2">
        <v>1</v>
      </c>
      <c r="H634" t="s">
        <v>5</v>
      </c>
      <c r="I634" t="s">
        <v>6</v>
      </c>
      <c r="J634" s="3">
        <v>1500</v>
      </c>
      <c r="K634" t="s">
        <v>2185</v>
      </c>
      <c r="L634" t="s">
        <v>2186</v>
      </c>
      <c r="M634" s="4">
        <v>45280</v>
      </c>
    </row>
    <row r="635" spans="1:13" x14ac:dyDescent="0.25">
      <c r="A635">
        <v>56470372</v>
      </c>
      <c r="B635" t="s">
        <v>2187</v>
      </c>
      <c r="C635" t="s">
        <v>2188</v>
      </c>
      <c r="D635" t="s">
        <v>522</v>
      </c>
      <c r="E635" t="s">
        <v>3</v>
      </c>
      <c r="F635" t="s">
        <v>2189</v>
      </c>
      <c r="G635" s="2">
        <v>1</v>
      </c>
      <c r="H635" t="s">
        <v>5</v>
      </c>
      <c r="I635" t="s">
        <v>25</v>
      </c>
      <c r="J635" s="3">
        <v>2000</v>
      </c>
      <c r="K635" t="s">
        <v>2190</v>
      </c>
      <c r="L635" t="s">
        <v>2191</v>
      </c>
      <c r="M635" s="4">
        <v>45281</v>
      </c>
    </row>
    <row r="636" spans="1:13" x14ac:dyDescent="0.25">
      <c r="A636">
        <v>56470373</v>
      </c>
      <c r="B636" t="s">
        <v>2192</v>
      </c>
      <c r="C636" t="s">
        <v>2188</v>
      </c>
      <c r="D636" t="s">
        <v>522</v>
      </c>
      <c r="E636" t="s">
        <v>3</v>
      </c>
      <c r="F636" t="s">
        <v>2189</v>
      </c>
      <c r="G636" s="2">
        <v>1</v>
      </c>
      <c r="H636" t="s">
        <v>5</v>
      </c>
      <c r="I636" t="s">
        <v>25</v>
      </c>
      <c r="J636" s="3">
        <v>2000</v>
      </c>
      <c r="K636" t="s">
        <v>2190</v>
      </c>
      <c r="L636" t="s">
        <v>2193</v>
      </c>
      <c r="M636" s="4">
        <v>45281</v>
      </c>
    </row>
    <row r="637" spans="1:13" x14ac:dyDescent="0.25">
      <c r="A637">
        <v>56470374</v>
      </c>
      <c r="B637" t="s">
        <v>2194</v>
      </c>
      <c r="C637" t="s">
        <v>2188</v>
      </c>
      <c r="D637" t="s">
        <v>522</v>
      </c>
      <c r="E637" t="s">
        <v>3</v>
      </c>
      <c r="F637" t="s">
        <v>2189</v>
      </c>
      <c r="G637" s="2">
        <v>1</v>
      </c>
      <c r="H637" t="s">
        <v>5</v>
      </c>
      <c r="I637" t="s">
        <v>25</v>
      </c>
      <c r="J637" s="3">
        <v>1147</v>
      </c>
      <c r="K637" t="s">
        <v>2190</v>
      </c>
      <c r="L637" t="s">
        <v>2195</v>
      </c>
      <c r="M637" s="4">
        <v>45281</v>
      </c>
    </row>
    <row r="638" spans="1:13" x14ac:dyDescent="0.25">
      <c r="A638">
        <v>56470375</v>
      </c>
      <c r="B638" t="s">
        <v>2196</v>
      </c>
      <c r="C638" t="s">
        <v>2188</v>
      </c>
      <c r="D638" t="s">
        <v>522</v>
      </c>
      <c r="E638" t="s">
        <v>3</v>
      </c>
      <c r="F638" t="s">
        <v>2189</v>
      </c>
      <c r="G638" s="2">
        <v>1</v>
      </c>
      <c r="H638" t="s">
        <v>5</v>
      </c>
      <c r="I638" t="s">
        <v>25</v>
      </c>
      <c r="J638" s="3">
        <v>2000</v>
      </c>
      <c r="K638" t="s">
        <v>2190</v>
      </c>
      <c r="L638" t="s">
        <v>2197</v>
      </c>
      <c r="M638" s="4">
        <v>45281</v>
      </c>
    </row>
    <row r="639" spans="1:13" x14ac:dyDescent="0.25">
      <c r="A639">
        <v>56470376</v>
      </c>
      <c r="B639" t="s">
        <v>2198</v>
      </c>
      <c r="C639" t="s">
        <v>2199</v>
      </c>
      <c r="D639" t="s">
        <v>522</v>
      </c>
      <c r="E639" t="s">
        <v>3</v>
      </c>
      <c r="F639" t="s">
        <v>1670</v>
      </c>
      <c r="G639" s="2">
        <v>1</v>
      </c>
      <c r="H639" t="s">
        <v>5</v>
      </c>
      <c r="I639" t="s">
        <v>25</v>
      </c>
      <c r="J639" s="3">
        <v>1000</v>
      </c>
      <c r="K639" t="s">
        <v>2140</v>
      </c>
      <c r="L639" t="s">
        <v>2200</v>
      </c>
      <c r="M639" s="4">
        <v>45280</v>
      </c>
    </row>
    <row r="640" spans="1:13" x14ac:dyDescent="0.25">
      <c r="A640">
        <v>56470378</v>
      </c>
      <c r="B640" t="s">
        <v>2201</v>
      </c>
      <c r="C640" t="s">
        <v>1730</v>
      </c>
      <c r="D640" t="s">
        <v>210</v>
      </c>
      <c r="E640" t="s">
        <v>3</v>
      </c>
      <c r="F640" t="s">
        <v>2202</v>
      </c>
      <c r="G640" s="2">
        <v>1500</v>
      </c>
      <c r="H640" t="s">
        <v>5</v>
      </c>
      <c r="I640" t="s">
        <v>6</v>
      </c>
      <c r="J640" s="3">
        <v>3704.4</v>
      </c>
      <c r="K640" t="s">
        <v>2203</v>
      </c>
      <c r="L640" t="s">
        <v>2204</v>
      </c>
      <c r="M640" s="4">
        <v>45281</v>
      </c>
    </row>
    <row r="641" spans="1:13" x14ac:dyDescent="0.25">
      <c r="A641">
        <v>56470379</v>
      </c>
      <c r="B641" t="s">
        <v>2205</v>
      </c>
      <c r="C641" t="s">
        <v>312</v>
      </c>
      <c r="D641" t="s">
        <v>210</v>
      </c>
      <c r="E641" t="s">
        <v>3</v>
      </c>
      <c r="F641" t="s">
        <v>2206</v>
      </c>
      <c r="G641" s="2">
        <v>600</v>
      </c>
      <c r="H641" t="s">
        <v>13</v>
      </c>
      <c r="I641" t="s">
        <v>6</v>
      </c>
      <c r="J641" s="3">
        <v>25.8</v>
      </c>
      <c r="K641" t="s">
        <v>2207</v>
      </c>
      <c r="L641" t="s">
        <v>2208</v>
      </c>
      <c r="M641" s="4">
        <v>45281</v>
      </c>
    </row>
    <row r="642" spans="1:13" x14ac:dyDescent="0.25">
      <c r="A642">
        <v>56470380</v>
      </c>
      <c r="B642" t="s">
        <v>2209</v>
      </c>
      <c r="C642" t="s">
        <v>2210</v>
      </c>
      <c r="D642" t="s">
        <v>155</v>
      </c>
      <c r="E642" t="s">
        <v>3</v>
      </c>
      <c r="F642" t="s">
        <v>2211</v>
      </c>
      <c r="G642" s="2">
        <v>104</v>
      </c>
      <c r="H642" t="s">
        <v>32</v>
      </c>
      <c r="I642" t="s">
        <v>33</v>
      </c>
      <c r="J642" s="3">
        <v>20411.04</v>
      </c>
      <c r="K642" t="s">
        <v>22</v>
      </c>
      <c r="L642" t="s">
        <v>2212</v>
      </c>
      <c r="M642" s="4">
        <v>45281</v>
      </c>
    </row>
    <row r="643" spans="1:13" x14ac:dyDescent="0.25">
      <c r="A643">
        <v>56470381</v>
      </c>
      <c r="B643" t="s">
        <v>2213</v>
      </c>
      <c r="C643" t="s">
        <v>2214</v>
      </c>
      <c r="D643" t="s">
        <v>30</v>
      </c>
      <c r="E643" t="s">
        <v>3</v>
      </c>
      <c r="F643" t="s">
        <v>2215</v>
      </c>
      <c r="G643" s="2">
        <v>469</v>
      </c>
      <c r="H643" t="s">
        <v>32</v>
      </c>
      <c r="I643" t="s">
        <v>33</v>
      </c>
      <c r="J643" s="3">
        <v>47284.58</v>
      </c>
      <c r="K643" t="s">
        <v>22</v>
      </c>
      <c r="L643" t="s">
        <v>2216</v>
      </c>
      <c r="M643" s="4">
        <v>45282</v>
      </c>
    </row>
    <row r="644" spans="1:13" x14ac:dyDescent="0.25">
      <c r="A644">
        <v>56470382</v>
      </c>
      <c r="B644" t="s">
        <v>2217</v>
      </c>
      <c r="C644" t="s">
        <v>2214</v>
      </c>
      <c r="D644" t="s">
        <v>30</v>
      </c>
      <c r="E644" t="s">
        <v>3</v>
      </c>
      <c r="F644" t="s">
        <v>2215</v>
      </c>
      <c r="G644" s="2">
        <v>469</v>
      </c>
      <c r="H644" t="s">
        <v>32</v>
      </c>
      <c r="I644" t="s">
        <v>33</v>
      </c>
      <c r="J644" s="3">
        <v>47284.58</v>
      </c>
      <c r="K644" t="s">
        <v>22</v>
      </c>
      <c r="L644" t="s">
        <v>2218</v>
      </c>
      <c r="M644" s="4">
        <v>45282</v>
      </c>
    </row>
    <row r="645" spans="1:13" x14ac:dyDescent="0.25">
      <c r="A645">
        <v>56470383</v>
      </c>
      <c r="B645" t="s">
        <v>2219</v>
      </c>
      <c r="C645" t="s">
        <v>2214</v>
      </c>
      <c r="D645" t="s">
        <v>30</v>
      </c>
      <c r="E645" t="s">
        <v>3</v>
      </c>
      <c r="F645" t="s">
        <v>2215</v>
      </c>
      <c r="G645" s="2">
        <v>469</v>
      </c>
      <c r="H645" t="s">
        <v>32</v>
      </c>
      <c r="I645" t="s">
        <v>33</v>
      </c>
      <c r="J645" s="3">
        <v>47284.58</v>
      </c>
      <c r="K645" t="s">
        <v>22</v>
      </c>
      <c r="L645" t="s">
        <v>2220</v>
      </c>
      <c r="M645" s="4">
        <v>45282</v>
      </c>
    </row>
    <row r="646" spans="1:13" x14ac:dyDescent="0.25">
      <c r="A646">
        <v>56470384</v>
      </c>
      <c r="B646" t="s">
        <v>2221</v>
      </c>
      <c r="C646" t="s">
        <v>2214</v>
      </c>
      <c r="D646" t="s">
        <v>30</v>
      </c>
      <c r="E646" t="s">
        <v>3</v>
      </c>
      <c r="F646" t="s">
        <v>2215</v>
      </c>
      <c r="G646" s="2">
        <v>469</v>
      </c>
      <c r="H646" t="s">
        <v>32</v>
      </c>
      <c r="I646" t="s">
        <v>33</v>
      </c>
      <c r="J646" s="3">
        <v>47284.58</v>
      </c>
      <c r="K646" t="s">
        <v>22</v>
      </c>
      <c r="L646" t="s">
        <v>2222</v>
      </c>
      <c r="M646" s="4">
        <v>45282</v>
      </c>
    </row>
    <row r="647" spans="1:13" x14ac:dyDescent="0.25">
      <c r="A647">
        <v>56470385</v>
      </c>
      <c r="B647" t="s">
        <v>2223</v>
      </c>
      <c r="C647" t="s">
        <v>582</v>
      </c>
      <c r="D647" t="s">
        <v>756</v>
      </c>
      <c r="E647" t="s">
        <v>3</v>
      </c>
      <c r="F647" t="s">
        <v>2224</v>
      </c>
      <c r="G647" s="2">
        <v>1</v>
      </c>
      <c r="H647" t="s">
        <v>32</v>
      </c>
      <c r="I647" t="s">
        <v>6</v>
      </c>
      <c r="J647" s="3">
        <v>3200</v>
      </c>
      <c r="K647" t="s">
        <v>22</v>
      </c>
      <c r="L647" t="s">
        <v>2225</v>
      </c>
      <c r="M647" s="4">
        <v>45280</v>
      </c>
    </row>
    <row r="648" spans="1:13" x14ac:dyDescent="0.25">
      <c r="A648">
        <v>56470386</v>
      </c>
      <c r="B648" t="s">
        <v>2226</v>
      </c>
      <c r="C648" t="s">
        <v>582</v>
      </c>
      <c r="D648" t="s">
        <v>756</v>
      </c>
      <c r="E648" t="s">
        <v>3</v>
      </c>
      <c r="F648" t="s">
        <v>2224</v>
      </c>
      <c r="G648" s="2">
        <v>1</v>
      </c>
      <c r="H648" t="s">
        <v>32</v>
      </c>
      <c r="I648" t="s">
        <v>6</v>
      </c>
      <c r="J648" s="3">
        <v>3200</v>
      </c>
      <c r="K648" t="s">
        <v>22</v>
      </c>
      <c r="L648" t="s">
        <v>2227</v>
      </c>
      <c r="M648" s="4">
        <v>45281</v>
      </c>
    </row>
    <row r="649" spans="1:13" x14ac:dyDescent="0.25">
      <c r="A649">
        <v>56472625</v>
      </c>
      <c r="B649" t="s">
        <v>744</v>
      </c>
      <c r="C649" t="s">
        <v>22</v>
      </c>
      <c r="D649" t="s">
        <v>237</v>
      </c>
      <c r="E649" t="s">
        <v>3</v>
      </c>
      <c r="F649" t="s">
        <v>2228</v>
      </c>
      <c r="G649" s="2">
        <v>1</v>
      </c>
      <c r="H649" t="s">
        <v>5</v>
      </c>
      <c r="I649" t="s">
        <v>33</v>
      </c>
      <c r="J649" s="3">
        <v>0</v>
      </c>
      <c r="K649" t="s">
        <v>2229</v>
      </c>
      <c r="L649" t="s">
        <v>22</v>
      </c>
      <c r="M649" s="4"/>
    </row>
    <row r="650" spans="1:13" x14ac:dyDescent="0.25">
      <c r="A650">
        <v>56475727</v>
      </c>
      <c r="B650" t="s">
        <v>2230</v>
      </c>
      <c r="C650" t="s">
        <v>424</v>
      </c>
      <c r="D650" t="s">
        <v>263</v>
      </c>
      <c r="E650" t="s">
        <v>3</v>
      </c>
      <c r="F650" t="s">
        <v>2231</v>
      </c>
      <c r="G650" s="2">
        <v>1</v>
      </c>
      <c r="H650" t="s">
        <v>5</v>
      </c>
      <c r="I650" t="s">
        <v>25</v>
      </c>
      <c r="J650" s="3">
        <v>750</v>
      </c>
      <c r="K650" t="s">
        <v>2232</v>
      </c>
      <c r="L650" t="s">
        <v>2233</v>
      </c>
      <c r="M650" s="4">
        <v>45281</v>
      </c>
    </row>
    <row r="651" spans="1:13" x14ac:dyDescent="0.25">
      <c r="A651">
        <v>56475732</v>
      </c>
      <c r="B651" t="s">
        <v>2234</v>
      </c>
      <c r="C651" t="s">
        <v>582</v>
      </c>
      <c r="D651" t="s">
        <v>756</v>
      </c>
      <c r="E651" t="s">
        <v>3</v>
      </c>
      <c r="F651" t="s">
        <v>2235</v>
      </c>
      <c r="G651" s="2">
        <v>1</v>
      </c>
      <c r="H651" t="s">
        <v>5</v>
      </c>
      <c r="I651" t="s">
        <v>6</v>
      </c>
      <c r="J651" s="3">
        <v>1632</v>
      </c>
      <c r="K651" t="s">
        <v>2236</v>
      </c>
      <c r="L651" t="s">
        <v>2237</v>
      </c>
      <c r="M651" s="4">
        <v>45282</v>
      </c>
    </row>
    <row r="652" spans="1:13" x14ac:dyDescent="0.25">
      <c r="A652">
        <v>56475733</v>
      </c>
      <c r="B652" t="s">
        <v>2238</v>
      </c>
      <c r="C652" t="s">
        <v>2050</v>
      </c>
      <c r="D652" t="s">
        <v>756</v>
      </c>
      <c r="E652" t="s">
        <v>3</v>
      </c>
      <c r="F652" t="s">
        <v>2239</v>
      </c>
      <c r="G652" s="2">
        <v>1</v>
      </c>
      <c r="H652" t="s">
        <v>32</v>
      </c>
      <c r="I652" t="s">
        <v>6</v>
      </c>
      <c r="J652" s="3">
        <v>3000</v>
      </c>
      <c r="K652" t="s">
        <v>22</v>
      </c>
      <c r="L652" t="s">
        <v>2240</v>
      </c>
      <c r="M652" s="4">
        <v>45282</v>
      </c>
    </row>
    <row r="653" spans="1:13" x14ac:dyDescent="0.25">
      <c r="A653">
        <v>56475752</v>
      </c>
      <c r="B653" t="s">
        <v>2241</v>
      </c>
      <c r="C653" t="s">
        <v>424</v>
      </c>
      <c r="D653" t="s">
        <v>155</v>
      </c>
      <c r="E653" t="s">
        <v>3</v>
      </c>
      <c r="F653" t="s">
        <v>2242</v>
      </c>
      <c r="G653" s="2">
        <v>1</v>
      </c>
      <c r="H653" t="s">
        <v>5</v>
      </c>
      <c r="I653" t="s">
        <v>6</v>
      </c>
      <c r="J653" s="3">
        <v>2175</v>
      </c>
      <c r="K653" t="s">
        <v>2243</v>
      </c>
      <c r="L653" t="s">
        <v>2244</v>
      </c>
      <c r="M653" s="4">
        <v>45281</v>
      </c>
    </row>
    <row r="654" spans="1:13" x14ac:dyDescent="0.25">
      <c r="A654">
        <v>56475753</v>
      </c>
      <c r="B654" t="s">
        <v>2245</v>
      </c>
      <c r="C654" t="s">
        <v>1730</v>
      </c>
      <c r="D654" t="s">
        <v>289</v>
      </c>
      <c r="E654" t="s">
        <v>3</v>
      </c>
      <c r="F654" t="s">
        <v>2246</v>
      </c>
      <c r="G654" s="2">
        <v>800</v>
      </c>
      <c r="H654" t="s">
        <v>32</v>
      </c>
      <c r="I654" t="s">
        <v>6</v>
      </c>
      <c r="J654" s="3">
        <v>387.28</v>
      </c>
      <c r="K654" t="s">
        <v>22</v>
      </c>
      <c r="L654" t="s">
        <v>2247</v>
      </c>
      <c r="M654" s="4">
        <v>45281</v>
      </c>
    </row>
    <row r="655" spans="1:13" x14ac:dyDescent="0.25">
      <c r="A655">
        <v>56475756</v>
      </c>
      <c r="B655" t="s">
        <v>2248</v>
      </c>
      <c r="C655" t="s">
        <v>2249</v>
      </c>
      <c r="D655" t="s">
        <v>155</v>
      </c>
      <c r="E655" t="s">
        <v>3</v>
      </c>
      <c r="F655" t="s">
        <v>2250</v>
      </c>
      <c r="G655" s="2">
        <v>1</v>
      </c>
      <c r="H655" t="s">
        <v>5</v>
      </c>
      <c r="I655" t="s">
        <v>25</v>
      </c>
      <c r="J655" s="3">
        <v>300</v>
      </c>
      <c r="K655" t="s">
        <v>2251</v>
      </c>
      <c r="L655" t="s">
        <v>2252</v>
      </c>
      <c r="M655" s="4">
        <v>45281</v>
      </c>
    </row>
    <row r="656" spans="1:13" x14ac:dyDescent="0.25">
      <c r="A656">
        <v>56475757</v>
      </c>
      <c r="B656" t="s">
        <v>2253</v>
      </c>
      <c r="C656" t="s">
        <v>435</v>
      </c>
      <c r="D656" t="s">
        <v>87</v>
      </c>
      <c r="E656" t="s">
        <v>3</v>
      </c>
      <c r="F656" t="s">
        <v>2254</v>
      </c>
      <c r="G656" s="2">
        <v>1</v>
      </c>
      <c r="H656" t="s">
        <v>32</v>
      </c>
      <c r="I656" t="s">
        <v>25</v>
      </c>
      <c r="J656" s="3">
        <v>2475</v>
      </c>
      <c r="K656" t="s">
        <v>22</v>
      </c>
      <c r="L656" t="s">
        <v>2255</v>
      </c>
      <c r="M656" s="4">
        <v>45281</v>
      </c>
    </row>
    <row r="657" spans="1:13" x14ac:dyDescent="0.25">
      <c r="A657">
        <v>56475768</v>
      </c>
      <c r="B657" t="s">
        <v>2256</v>
      </c>
      <c r="C657" t="s">
        <v>435</v>
      </c>
      <c r="D657" t="s">
        <v>87</v>
      </c>
      <c r="E657" t="s">
        <v>3</v>
      </c>
      <c r="F657" t="s">
        <v>2257</v>
      </c>
      <c r="G657" s="2">
        <v>1</v>
      </c>
      <c r="H657" t="s">
        <v>32</v>
      </c>
      <c r="I657" t="s">
        <v>25</v>
      </c>
      <c r="J657" s="3">
        <v>2475</v>
      </c>
      <c r="K657" t="s">
        <v>22</v>
      </c>
      <c r="L657" t="s">
        <v>2258</v>
      </c>
      <c r="M657" s="4">
        <v>45281</v>
      </c>
    </row>
    <row r="658" spans="1:13" x14ac:dyDescent="0.25">
      <c r="A658">
        <v>56475769</v>
      </c>
      <c r="B658" t="s">
        <v>2259</v>
      </c>
      <c r="C658" t="s">
        <v>1101</v>
      </c>
      <c r="D658" t="s">
        <v>61</v>
      </c>
      <c r="E658" t="s">
        <v>3</v>
      </c>
      <c r="F658" t="s">
        <v>2260</v>
      </c>
      <c r="G658" s="2">
        <v>1</v>
      </c>
      <c r="H658" t="s">
        <v>32</v>
      </c>
      <c r="I658" t="s">
        <v>25</v>
      </c>
      <c r="J658" s="3">
        <v>2000</v>
      </c>
      <c r="K658" t="s">
        <v>22</v>
      </c>
      <c r="L658" t="s">
        <v>2261</v>
      </c>
      <c r="M658" s="4">
        <v>45281</v>
      </c>
    </row>
    <row r="659" spans="1:13" x14ac:dyDescent="0.25">
      <c r="A659">
        <v>56475770</v>
      </c>
      <c r="B659" t="s">
        <v>2262</v>
      </c>
      <c r="C659" t="s">
        <v>1101</v>
      </c>
      <c r="D659" t="s">
        <v>61</v>
      </c>
      <c r="E659" t="s">
        <v>3</v>
      </c>
      <c r="F659" t="s">
        <v>2263</v>
      </c>
      <c r="G659" s="2">
        <v>1</v>
      </c>
      <c r="H659" t="s">
        <v>32</v>
      </c>
      <c r="I659" t="s">
        <v>25</v>
      </c>
      <c r="J659" s="3">
        <v>2000</v>
      </c>
      <c r="K659" t="s">
        <v>22</v>
      </c>
      <c r="L659" t="s">
        <v>2264</v>
      </c>
      <c r="M659" s="4">
        <v>45281</v>
      </c>
    </row>
    <row r="660" spans="1:13" x14ac:dyDescent="0.25">
      <c r="A660">
        <v>56475771</v>
      </c>
      <c r="B660" t="s">
        <v>2265</v>
      </c>
      <c r="C660" t="s">
        <v>1101</v>
      </c>
      <c r="D660" t="s">
        <v>61</v>
      </c>
      <c r="E660" t="s">
        <v>3</v>
      </c>
      <c r="F660" t="s">
        <v>2263</v>
      </c>
      <c r="G660" s="2">
        <v>1</v>
      </c>
      <c r="H660" t="s">
        <v>32</v>
      </c>
      <c r="I660" t="s">
        <v>25</v>
      </c>
      <c r="J660" s="3">
        <v>2000</v>
      </c>
      <c r="K660" t="s">
        <v>22</v>
      </c>
      <c r="L660" t="s">
        <v>2266</v>
      </c>
      <c r="M660" s="4">
        <v>45281</v>
      </c>
    </row>
    <row r="661" spans="1:13" x14ac:dyDescent="0.25">
      <c r="A661">
        <v>56475772</v>
      </c>
      <c r="B661" t="s">
        <v>2267</v>
      </c>
      <c r="C661" t="s">
        <v>1101</v>
      </c>
      <c r="D661" t="s">
        <v>61</v>
      </c>
      <c r="E661" t="s">
        <v>3</v>
      </c>
      <c r="F661" t="s">
        <v>2268</v>
      </c>
      <c r="G661" s="2">
        <v>1</v>
      </c>
      <c r="H661" t="s">
        <v>32</v>
      </c>
      <c r="I661" t="s">
        <v>25</v>
      </c>
      <c r="J661" s="3">
        <v>2000</v>
      </c>
      <c r="K661" t="s">
        <v>22</v>
      </c>
      <c r="L661" t="s">
        <v>2269</v>
      </c>
      <c r="M661" s="4">
        <v>45281</v>
      </c>
    </row>
    <row r="662" spans="1:13" x14ac:dyDescent="0.25">
      <c r="A662">
        <v>56475773</v>
      </c>
      <c r="B662" t="s">
        <v>2270</v>
      </c>
      <c r="C662" t="s">
        <v>1101</v>
      </c>
      <c r="D662" t="s">
        <v>61</v>
      </c>
      <c r="E662" t="s">
        <v>3</v>
      </c>
      <c r="F662" t="s">
        <v>2260</v>
      </c>
      <c r="G662" s="2">
        <v>1</v>
      </c>
      <c r="H662" t="s">
        <v>32</v>
      </c>
      <c r="I662" t="s">
        <v>25</v>
      </c>
      <c r="J662" s="3">
        <v>2000</v>
      </c>
      <c r="K662" t="s">
        <v>22</v>
      </c>
      <c r="L662" t="s">
        <v>2271</v>
      </c>
      <c r="M662" s="4">
        <v>45281</v>
      </c>
    </row>
    <row r="663" spans="1:13" x14ac:dyDescent="0.25">
      <c r="A663">
        <v>56475774</v>
      </c>
      <c r="B663" t="s">
        <v>2272</v>
      </c>
      <c r="C663" t="s">
        <v>1101</v>
      </c>
      <c r="D663" t="s">
        <v>61</v>
      </c>
      <c r="E663" t="s">
        <v>3</v>
      </c>
      <c r="F663" t="s">
        <v>2260</v>
      </c>
      <c r="G663" s="2">
        <v>1</v>
      </c>
      <c r="H663" t="s">
        <v>32</v>
      </c>
      <c r="I663" t="s">
        <v>25</v>
      </c>
      <c r="J663" s="3">
        <v>2000</v>
      </c>
      <c r="K663" t="s">
        <v>22</v>
      </c>
      <c r="L663" t="s">
        <v>2273</v>
      </c>
      <c r="M663" s="4">
        <v>45281</v>
      </c>
    </row>
    <row r="664" spans="1:13" x14ac:dyDescent="0.25">
      <c r="A664">
        <v>56475775</v>
      </c>
      <c r="B664" t="s">
        <v>2274</v>
      </c>
      <c r="C664" t="s">
        <v>65</v>
      </c>
      <c r="D664" t="s">
        <v>61</v>
      </c>
      <c r="E664" t="s">
        <v>3</v>
      </c>
      <c r="F664" t="s">
        <v>2275</v>
      </c>
      <c r="G664" s="2">
        <v>1</v>
      </c>
      <c r="H664" t="s">
        <v>32</v>
      </c>
      <c r="I664" t="s">
        <v>6</v>
      </c>
      <c r="J664" s="3">
        <v>1500</v>
      </c>
      <c r="K664" t="s">
        <v>22</v>
      </c>
      <c r="L664" t="s">
        <v>2276</v>
      </c>
      <c r="M664" s="4">
        <v>45281</v>
      </c>
    </row>
    <row r="665" spans="1:13" x14ac:dyDescent="0.25">
      <c r="A665">
        <v>56475776</v>
      </c>
      <c r="B665" t="s">
        <v>2277</v>
      </c>
      <c r="C665" t="s">
        <v>65</v>
      </c>
      <c r="D665" t="s">
        <v>61</v>
      </c>
      <c r="E665" t="s">
        <v>3</v>
      </c>
      <c r="F665" t="s">
        <v>2278</v>
      </c>
      <c r="G665" s="2">
        <v>1</v>
      </c>
      <c r="H665" t="s">
        <v>32</v>
      </c>
      <c r="I665" t="s">
        <v>6</v>
      </c>
      <c r="J665" s="3">
        <v>1500</v>
      </c>
      <c r="K665" t="s">
        <v>22</v>
      </c>
      <c r="L665" t="s">
        <v>2279</v>
      </c>
      <c r="M665" s="4">
        <v>45281</v>
      </c>
    </row>
    <row r="666" spans="1:13" x14ac:dyDescent="0.25">
      <c r="A666">
        <v>56475777</v>
      </c>
      <c r="B666" t="s">
        <v>2280</v>
      </c>
      <c r="C666" t="s">
        <v>65</v>
      </c>
      <c r="D666" t="s">
        <v>61</v>
      </c>
      <c r="E666" t="s">
        <v>3</v>
      </c>
      <c r="F666" t="s">
        <v>2281</v>
      </c>
      <c r="G666" s="2">
        <v>1</v>
      </c>
      <c r="H666" t="s">
        <v>32</v>
      </c>
      <c r="I666" t="s">
        <v>6</v>
      </c>
      <c r="J666" s="3">
        <v>1500</v>
      </c>
      <c r="K666" t="s">
        <v>22</v>
      </c>
      <c r="L666" t="s">
        <v>2282</v>
      </c>
      <c r="M666" s="4">
        <v>45281</v>
      </c>
    </row>
    <row r="667" spans="1:13" x14ac:dyDescent="0.25">
      <c r="A667">
        <v>56475795</v>
      </c>
      <c r="B667" t="s">
        <v>2283</v>
      </c>
      <c r="C667" t="s">
        <v>2284</v>
      </c>
      <c r="D667" t="s">
        <v>522</v>
      </c>
      <c r="E667" t="s">
        <v>3</v>
      </c>
      <c r="F667" t="s">
        <v>2285</v>
      </c>
      <c r="G667" s="2">
        <v>70</v>
      </c>
      <c r="H667" t="s">
        <v>5</v>
      </c>
      <c r="I667" t="s">
        <v>25</v>
      </c>
      <c r="J667" s="3">
        <v>2100</v>
      </c>
      <c r="K667" t="s">
        <v>2286</v>
      </c>
      <c r="L667" t="s">
        <v>2287</v>
      </c>
      <c r="M667" s="4">
        <v>45282</v>
      </c>
    </row>
    <row r="668" spans="1:13" x14ac:dyDescent="0.25">
      <c r="A668">
        <v>56475796</v>
      </c>
      <c r="B668" t="s">
        <v>2288</v>
      </c>
      <c r="C668" t="s">
        <v>2284</v>
      </c>
      <c r="D668" t="s">
        <v>522</v>
      </c>
      <c r="E668" t="s">
        <v>3</v>
      </c>
      <c r="F668" t="s">
        <v>2285</v>
      </c>
      <c r="G668" s="2">
        <v>70</v>
      </c>
      <c r="H668" t="s">
        <v>5</v>
      </c>
      <c r="I668" t="s">
        <v>25</v>
      </c>
      <c r="J668" s="3">
        <v>2100</v>
      </c>
      <c r="K668" t="s">
        <v>2286</v>
      </c>
      <c r="L668" t="s">
        <v>2289</v>
      </c>
      <c r="M668" s="4">
        <v>45282</v>
      </c>
    </row>
    <row r="669" spans="1:13" x14ac:dyDescent="0.25">
      <c r="A669">
        <v>56475797</v>
      </c>
      <c r="B669" t="s">
        <v>2290</v>
      </c>
      <c r="C669" t="s">
        <v>2284</v>
      </c>
      <c r="D669" t="s">
        <v>522</v>
      </c>
      <c r="E669" t="s">
        <v>3</v>
      </c>
      <c r="F669" t="s">
        <v>2285</v>
      </c>
      <c r="G669" s="2">
        <v>70</v>
      </c>
      <c r="H669" t="s">
        <v>5</v>
      </c>
      <c r="I669" t="s">
        <v>25</v>
      </c>
      <c r="J669" s="3">
        <v>2100</v>
      </c>
      <c r="K669" t="s">
        <v>2286</v>
      </c>
      <c r="L669" t="s">
        <v>2291</v>
      </c>
      <c r="M669" s="4">
        <v>45282</v>
      </c>
    </row>
    <row r="670" spans="1:13" x14ac:dyDescent="0.25">
      <c r="A670">
        <v>56475798</v>
      </c>
      <c r="B670" t="s">
        <v>2292</v>
      </c>
      <c r="C670" t="s">
        <v>151</v>
      </c>
      <c r="D670" t="s">
        <v>2</v>
      </c>
      <c r="E670" t="s">
        <v>3</v>
      </c>
      <c r="F670" t="s">
        <v>1039</v>
      </c>
      <c r="G670" s="2">
        <v>500</v>
      </c>
      <c r="H670" t="s">
        <v>32</v>
      </c>
      <c r="I670" t="s">
        <v>25</v>
      </c>
      <c r="J670" s="3">
        <v>2250</v>
      </c>
      <c r="K670" t="s">
        <v>22</v>
      </c>
      <c r="L670" t="s">
        <v>2293</v>
      </c>
      <c r="M670" s="4">
        <v>45282</v>
      </c>
    </row>
    <row r="671" spans="1:13" x14ac:dyDescent="0.25">
      <c r="A671">
        <v>56481367</v>
      </c>
      <c r="B671" t="s">
        <v>2294</v>
      </c>
      <c r="C671" t="s">
        <v>627</v>
      </c>
      <c r="D671" t="s">
        <v>30</v>
      </c>
      <c r="E671" t="s">
        <v>3</v>
      </c>
      <c r="F671" t="s">
        <v>2295</v>
      </c>
      <c r="G671" s="2">
        <v>1</v>
      </c>
      <c r="H671" t="s">
        <v>5</v>
      </c>
      <c r="I671" t="s">
        <v>77</v>
      </c>
      <c r="J671" s="3">
        <v>73170</v>
      </c>
      <c r="K671" t="s">
        <v>22</v>
      </c>
      <c r="L671" t="s">
        <v>2296</v>
      </c>
      <c r="M671" s="4">
        <v>45287</v>
      </c>
    </row>
    <row r="672" spans="1:13" x14ac:dyDescent="0.25">
      <c r="A672">
        <v>56481448</v>
      </c>
      <c r="B672" t="s">
        <v>2297</v>
      </c>
      <c r="C672" t="s">
        <v>1062</v>
      </c>
      <c r="D672" t="s">
        <v>37</v>
      </c>
      <c r="E672" t="s">
        <v>3</v>
      </c>
      <c r="F672" t="s">
        <v>2298</v>
      </c>
      <c r="G672" s="2">
        <v>1</v>
      </c>
      <c r="H672" t="s">
        <v>32</v>
      </c>
      <c r="I672" t="s">
        <v>77</v>
      </c>
      <c r="J672" s="3">
        <v>34052</v>
      </c>
      <c r="K672" t="s">
        <v>22</v>
      </c>
      <c r="L672" t="s">
        <v>22</v>
      </c>
      <c r="M672" s="4"/>
    </row>
    <row r="673" spans="1:13" x14ac:dyDescent="0.25">
      <c r="A673">
        <v>56481450</v>
      </c>
      <c r="B673" t="s">
        <v>2299</v>
      </c>
      <c r="C673" t="s">
        <v>734</v>
      </c>
      <c r="D673" t="s">
        <v>210</v>
      </c>
      <c r="E673" t="s">
        <v>3</v>
      </c>
      <c r="F673" t="s">
        <v>2300</v>
      </c>
      <c r="G673" s="2">
        <v>7000</v>
      </c>
      <c r="H673" t="s">
        <v>13</v>
      </c>
      <c r="I673" t="s">
        <v>6</v>
      </c>
      <c r="J673" s="3">
        <v>262.08</v>
      </c>
      <c r="K673" t="s">
        <v>2301</v>
      </c>
      <c r="L673" t="s">
        <v>2302</v>
      </c>
      <c r="M673" s="4">
        <v>45282</v>
      </c>
    </row>
    <row r="674" spans="1:13" x14ac:dyDescent="0.25">
      <c r="A674">
        <v>56481451</v>
      </c>
      <c r="B674" t="s">
        <v>2303</v>
      </c>
      <c r="C674" t="s">
        <v>2304</v>
      </c>
      <c r="D674" t="s">
        <v>210</v>
      </c>
      <c r="E674" t="s">
        <v>3</v>
      </c>
      <c r="F674" t="s">
        <v>2305</v>
      </c>
      <c r="G674" s="2">
        <v>10000</v>
      </c>
      <c r="H674" t="s">
        <v>5</v>
      </c>
      <c r="I674" t="s">
        <v>6</v>
      </c>
      <c r="J674" s="3">
        <v>300</v>
      </c>
      <c r="K674" t="s">
        <v>2306</v>
      </c>
      <c r="L674" t="s">
        <v>2307</v>
      </c>
      <c r="M674" s="4">
        <v>45282</v>
      </c>
    </row>
    <row r="675" spans="1:13" x14ac:dyDescent="0.25">
      <c r="A675">
        <v>56483215</v>
      </c>
      <c r="B675" t="s">
        <v>955</v>
      </c>
      <c r="C675" t="s">
        <v>22</v>
      </c>
      <c r="D675" t="s">
        <v>115</v>
      </c>
      <c r="E675" t="s">
        <v>3</v>
      </c>
      <c r="F675" t="s">
        <v>2308</v>
      </c>
      <c r="G675" s="2">
        <v>4</v>
      </c>
      <c r="H675" t="s">
        <v>5</v>
      </c>
      <c r="I675" t="s">
        <v>33</v>
      </c>
      <c r="J675" s="3">
        <v>0</v>
      </c>
      <c r="K675" t="s">
        <v>2309</v>
      </c>
      <c r="L675" t="s">
        <v>2310</v>
      </c>
      <c r="M675" s="4">
        <v>45294</v>
      </c>
    </row>
    <row r="676" spans="1:13" x14ac:dyDescent="0.25">
      <c r="A676">
        <v>56518729</v>
      </c>
      <c r="B676" t="s">
        <v>2311</v>
      </c>
      <c r="C676" t="s">
        <v>65</v>
      </c>
      <c r="D676" t="s">
        <v>61</v>
      </c>
      <c r="E676" t="s">
        <v>3</v>
      </c>
      <c r="F676" t="s">
        <v>2312</v>
      </c>
      <c r="G676" s="2">
        <v>1</v>
      </c>
      <c r="H676" t="s">
        <v>32</v>
      </c>
      <c r="I676" t="s">
        <v>6</v>
      </c>
      <c r="J676" s="3">
        <v>1500</v>
      </c>
      <c r="K676" t="s">
        <v>22</v>
      </c>
      <c r="L676" t="s">
        <v>2313</v>
      </c>
      <c r="M676" s="4">
        <v>45288</v>
      </c>
    </row>
    <row r="677" spans="1:13" x14ac:dyDescent="0.25">
      <c r="A677">
        <v>56518730</v>
      </c>
      <c r="B677" t="s">
        <v>2314</v>
      </c>
      <c r="C677" t="s">
        <v>65</v>
      </c>
      <c r="D677" t="s">
        <v>61</v>
      </c>
      <c r="E677" t="s">
        <v>3</v>
      </c>
      <c r="F677" t="s">
        <v>2315</v>
      </c>
      <c r="G677" s="2">
        <v>1</v>
      </c>
      <c r="H677" t="s">
        <v>32</v>
      </c>
      <c r="I677" t="s">
        <v>6</v>
      </c>
      <c r="J677" s="3">
        <v>1500</v>
      </c>
      <c r="K677" t="s">
        <v>22</v>
      </c>
      <c r="L677" t="s">
        <v>2316</v>
      </c>
      <c r="M677" s="4">
        <v>45288</v>
      </c>
    </row>
    <row r="678" spans="1:13" x14ac:dyDescent="0.25">
      <c r="A678">
        <v>56518732</v>
      </c>
      <c r="B678" t="s">
        <v>2317</v>
      </c>
      <c r="C678" t="s">
        <v>424</v>
      </c>
      <c r="D678" t="s">
        <v>263</v>
      </c>
      <c r="E678" t="s">
        <v>3</v>
      </c>
      <c r="F678" t="s">
        <v>2318</v>
      </c>
      <c r="G678" s="2">
        <v>1</v>
      </c>
      <c r="H678" t="s">
        <v>5</v>
      </c>
      <c r="I678" t="s">
        <v>6</v>
      </c>
      <c r="J678" s="3">
        <v>1025.5999999999999</v>
      </c>
      <c r="K678" t="s">
        <v>2319</v>
      </c>
      <c r="L678" t="s">
        <v>2320</v>
      </c>
      <c r="M678" s="4">
        <v>45288</v>
      </c>
    </row>
    <row r="679" spans="1:13" x14ac:dyDescent="0.25">
      <c r="A679">
        <v>56518733</v>
      </c>
      <c r="B679" t="s">
        <v>2321</v>
      </c>
      <c r="C679" t="s">
        <v>151</v>
      </c>
      <c r="D679" t="s">
        <v>2</v>
      </c>
      <c r="E679" t="s">
        <v>3</v>
      </c>
      <c r="F679" t="s">
        <v>1141</v>
      </c>
      <c r="G679" s="2">
        <v>1</v>
      </c>
      <c r="H679" t="s">
        <v>32</v>
      </c>
      <c r="I679" t="s">
        <v>25</v>
      </c>
      <c r="J679" s="3">
        <v>6500</v>
      </c>
      <c r="K679" t="s">
        <v>22</v>
      </c>
      <c r="L679" t="s">
        <v>2322</v>
      </c>
      <c r="M679" s="4">
        <v>45288</v>
      </c>
    </row>
    <row r="680" spans="1:13" x14ac:dyDescent="0.25">
      <c r="A680">
        <v>56518744</v>
      </c>
      <c r="B680" t="s">
        <v>2323</v>
      </c>
      <c r="C680" t="s">
        <v>390</v>
      </c>
      <c r="D680" t="s">
        <v>51</v>
      </c>
      <c r="E680" t="s">
        <v>3</v>
      </c>
      <c r="F680" t="s">
        <v>2324</v>
      </c>
      <c r="G680" s="2">
        <v>1</v>
      </c>
      <c r="H680" t="s">
        <v>32</v>
      </c>
      <c r="I680" t="s">
        <v>25</v>
      </c>
      <c r="J680" s="3">
        <v>13440</v>
      </c>
      <c r="K680" t="s">
        <v>22</v>
      </c>
      <c r="L680" t="s">
        <v>2325</v>
      </c>
      <c r="M680" s="4">
        <v>45288</v>
      </c>
    </row>
    <row r="681" spans="1:13" x14ac:dyDescent="0.25">
      <c r="A681">
        <v>56518745</v>
      </c>
      <c r="B681" t="s">
        <v>2326</v>
      </c>
      <c r="C681" t="s">
        <v>435</v>
      </c>
      <c r="D681" t="s">
        <v>51</v>
      </c>
      <c r="E681" t="s">
        <v>3</v>
      </c>
      <c r="F681" t="s">
        <v>2327</v>
      </c>
      <c r="G681" s="2">
        <v>1</v>
      </c>
      <c r="H681" t="s">
        <v>32</v>
      </c>
      <c r="I681" t="s">
        <v>25</v>
      </c>
      <c r="J681" s="3">
        <v>5750</v>
      </c>
      <c r="K681" t="s">
        <v>22</v>
      </c>
      <c r="L681" t="s">
        <v>2328</v>
      </c>
      <c r="M681" s="4">
        <v>45288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PR</vt:lpstr>
      <vt:lpstr>REQUESTORS</vt:lpstr>
      <vt:lpstr>BUYER</vt:lpstr>
      <vt:lpstr>SUPPLIERS</vt:lpstr>
      <vt:lpstr>24PRLIST</vt:lpstr>
      <vt:lpstr>suppliers_s</vt:lpstr>
      <vt:lpstr>23PRLIST</vt:lpstr>
      <vt:lpstr>A</vt:lpstr>
      <vt:lpstr>pr_list</vt:lpstr>
      <vt:lpstr>pr_qnty</vt:lpstr>
      <vt:lpstr>prlist</vt:lpstr>
      <vt:lpstr>prQnty</vt:lpstr>
      <vt:lpstr>req</vt:lpstr>
      <vt:lpstr>rpd_path</vt:lpstr>
      <vt:lpstr>sb_path</vt:lpstr>
      <vt:lpstr>xd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Rivera, Felipe</cp:lastModifiedBy>
  <cp:revision>1</cp:revision>
  <dcterms:created xsi:type="dcterms:W3CDTF">2024-01-10T17:16:08Z</dcterms:created>
  <dcterms:modified xsi:type="dcterms:W3CDTF">2024-01-18T21:14:39Z</dcterms:modified>
  <cp:category/>
</cp:coreProperties>
</file>